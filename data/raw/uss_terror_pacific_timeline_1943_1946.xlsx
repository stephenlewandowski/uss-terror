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6d0130e5d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07fd3edc673046da"/>
    <x:sheet xmlns:r="http://schemas.openxmlformats.org/officeDocument/2006/relationships" name="Route Legs" sheetId="2" r:id="Ra1d1fc815edc4c2a"/>
    <x:sheet xmlns:r="http://schemas.openxmlformats.org/officeDocument/2006/relationships" name="Locations" sheetId="3" r:id="Rd8877e1e6adb40d4"/>
    <x:sheet xmlns:r="http://schemas.openxmlformats.org/officeDocument/2006/relationships" name="Conflicts" sheetId="4" r:id="Rcab074fde0f9489e"/>
    <x:sheet xmlns:r="http://schemas.openxmlformats.org/officeDocument/2006/relationships" name="Sources" sheetId="5" r:id="R9290c39db7444b38"/>
    <x:sheet xmlns:r="http://schemas.openxmlformats.org/officeDocument/2006/relationships" name="Read Me" sheetId="6" r:id="Rb495f8ce5235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0"/>
    <x:numFmt numFmtId="202" formatCode="0"/>
    <x:numFmt numFmtId="203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9E6"/>
      </x:patternFill>
    </x:fill>
    <x:fill>
      <x:patternFill patternType="solid">
        <x:fgColor rgb="FFF4E8D0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FF2CC"/>
        </x:patternFill>
      </x:fill>
    </x:dxf>
    <x:dxf>
      <x:font>
        <x:i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i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742d0d60a409b" /><Relationship Type="http://schemas.openxmlformats.org/officeDocument/2006/relationships/theme" Target="/xl/theme/theme1.xml" Id="Rfa56d0304c434bce" /><Relationship Type="http://schemas.microsoft.com/office/2022/11/relationships/FeaturePropertyBag" Target="/xl/featurePropertyBag/featurePropertyBag.xml" Id="R0c4539943eb94b2e" /><Relationship Type="http://schemas.openxmlformats.org/officeDocument/2006/relationships/sharedStrings" Target="/xl/sharedStrings.xml" Id="R3659a49f67364ee4" /><Relationship Type="http://schemas.openxmlformats.org/officeDocument/2006/relationships/worksheet" Target="/xl/worksheets/sheet1.xml" Id="R07fd3edc673046da" /><Relationship Type="http://schemas.openxmlformats.org/officeDocument/2006/relationships/worksheet" Target="/xl/worksheets/sheet2.xml" Id="Ra1d1fc815edc4c2a" /><Relationship Type="http://schemas.openxmlformats.org/officeDocument/2006/relationships/worksheet" Target="/xl/worksheets/sheet3.xml" Id="Rd8877e1e6adb40d4" /><Relationship Type="http://schemas.openxmlformats.org/officeDocument/2006/relationships/worksheet" Target="/xl/worksheets/sheet4.xml" Id="Rcab074fde0f9489e" /><Relationship Type="http://schemas.openxmlformats.org/officeDocument/2006/relationships/worksheet" Target="/xl/worksheets/sheet5.xml" Id="R9290c39db7444b38" /><Relationship Type="http://schemas.openxmlformats.org/officeDocument/2006/relationships/worksheet" Target="/xl/worksheets/sheet6.xml" Id="Rb495f8ce52354d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imelineTable" displayName="TimelineTable" ref="A1:T62" headerRowCount="1">
  <x:tableColumns count="20">
    <x:tableColumn id="1" name="Sequence"/>
    <x:tableColumn id="2" name="Date Start"/>
    <x:tableColumn id="3" name="Date End"/>
    <x:tableColumn id="4" name="Date Precision"/>
    <x:tableColumn id="5" name="Location ID"/>
    <x:tableColumn id="6" name="Location Name"/>
    <x:tableColumn id="7" name="Latitude (WGS84)"/>
    <x:tableColumn id="8" name="Longitude (WGS84)"/>
    <x:tableColumn id="9" name="Position Type"/>
    <x:tableColumn id="10" name="Coordinate Basis"/>
    <x:tableColumn id="11" name="Uncertainty (nm)"/>
    <x:tableColumn id="12" name="Movement State"/>
    <x:tableColumn id="13" name="Event Category"/>
    <x:tableColumn id="14" name="Event / Action"/>
    <x:tableColumn id="15" name="Historical Confidence"/>
    <x:tableColumn id="16" name="Include Default Map"/>
    <x:tableColumn id="17" name="Source ID"/>
    <x:tableColumn id="18" name="Source Locator"/>
    <x:tableColumn id="19" name="Source URL"/>
    <x:tableColumn id="2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outeLegsTable" displayName="RouteLegsTable" ref="A1:W58" headerRowCount="1">
  <x:tableColumns count="23">
    <x:tableColumn id="1" name="Leg ID"/>
    <x:tableColumn id="2" name="Sequence"/>
    <x:tableColumn id="3" name="Start Date"/>
    <x:tableColumn id="4" name="End Date"/>
    <x:tableColumn id="5" name="Start Location ID"/>
    <x:tableColumn id="6" name="Start Location"/>
    <x:tableColumn id="7" name="Start Lat"/>
    <x:tableColumn id="8" name="Start Lon"/>
    <x:tableColumn id="9" name="End Location ID"/>
    <x:tableColumn id="10" name="End Location"/>
    <x:tableColumn id="11" name="End Lat"/>
    <x:tableColumn id="12" name="End Lon"/>
    <x:tableColumn id="13" name="Duration Days"/>
    <x:tableColumn id="14" name="Great-circle Distance (nm)"/>
    <x:tableColumn id="15" name="Implied Avg Speed (kn)"/>
    <x:tableColumn id="16" name="Source Status"/>
    <x:tableColumn id="17" name="Date Confidence"/>
    <x:tableColumn id="18" name="Route Confidence"/>
    <x:tableColumn id="19" name="Include Default Map"/>
    <x:tableColumn id="20" name="Source ID"/>
    <x:tableColumn id="21" name="Source Locator"/>
    <x:tableColumn id="22" name="Source URL"/>
    <x:tableColumn id="2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LocationsTable" displayName="LocationsTable" ref="A1:J24" headerRowCount="1">
  <x:tableColumns count="10">
    <x:tableColumn id="1" name="Location ID"/>
    <x:tableColumn id="2" name="Historical Label"/>
    <x:tableColumn id="3" name="Modern / Specific Point"/>
    <x:tableColumn id="4" name="Region"/>
    <x:tableColumn id="5" name="Latitude (WGS84)"/>
    <x:tableColumn id="6" name="Longitude (WGS84)"/>
    <x:tableColumn id="7" name="Coordinate Basis"/>
    <x:tableColumn id="8" name="Uncertainty (nm)"/>
    <x:tableColumn id="9" name="MGRS Applicability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onflictsTable" displayName="ConflictsTable" ref="A1:J8" headerRowCount="1">
  <x:tableColumns count="10">
    <x:tableColumn id="1" name="Conflict ID"/>
    <x:tableColumn id="2" name="Subject"/>
    <x:tableColumn id="3" name="Date / Period"/>
    <x:tableColumn id="4" name="Source A"/>
    <x:tableColumn id="5" name="Claim A"/>
    <x:tableColumn id="6" name="Source B"/>
    <x:tableColumn id="7" name="Claim B"/>
    <x:tableColumn id="8" name="Modeling Decision"/>
    <x:tableColumn id="9" name="Decision Confidence"/>
    <x:tableColumn id="10" name="Recommended Follow-up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H6" headerRowCount="1">
  <x:tableColumns count="8">
    <x:tableColumn id="1" name="Source ID"/>
    <x:tableColumn id="2" name="Title"/>
    <x:tableColumn id="3" name="Source Type"/>
    <x:tableColumn id="4" name="Authority"/>
    <x:tableColumn id="5" name="URL"/>
    <x:tableColumn id="6" name="Coverage"/>
    <x:tableColumn id="7" name="Reliability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1d559004fc49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6bd2d1872242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0225b9b27d43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c2e5cb536b49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aea334414b843d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2" hidden="0" customWidth="1"/>
    <x:col min="4" max="4" width="15" hidden="0" customWidth="1"/>
    <x:col min="5" max="5" width="11" hidden="0" customWidth="1"/>
    <x:col min="6" max="6" width="22" hidden="0" customWidth="1"/>
    <x:col min="7" max="7" width="14" hidden="0" customWidth="1"/>
    <x:col min="8" max="8" width="14" hidden="0" customWidth="1"/>
    <x:col min="9" max="9" width="18" hidden="0" customWidth="1"/>
    <x:col min="10" max="10" width="30" hidden="0" customWidth="1"/>
    <x:col min="11" max="11" width="13" hidden="0" customWidth="1"/>
    <x:col min="12" max="12" width="18" hidden="0" customWidth="1"/>
    <x:col min="13" max="13" width="22" hidden="0" customWidth="1"/>
    <x:col min="14" max="14" width="42" hidden="0" customWidth="1"/>
    <x:col min="15" max="15" width="18" hidden="0" customWidth="1"/>
    <x:col min="16" max="16" width="16" hidden="0" customWidth="1"/>
    <x:col min="17" max="17" width="10" hidden="0" customWidth="1"/>
    <x:col min="18" max="18" width="30" hidden="0" customWidth="1"/>
    <x:col min="19" max="19" width="42" hidden="0" customWidth="1"/>
    <x:col min="20" max="20" width="38" hidden="0" customWidth="1"/>
  </x:cols>
  <x:sheetData>
    <x:row r="1">
      <x:c r="A1" s="18" t="str">
        <x:v>Sequence</x:v>
      </x:c>
      <x:c r="B1" s="18" t="str">
        <x:v>Date Start</x:v>
      </x:c>
      <x:c r="C1" s="18" t="str">
        <x:v>Date End</x:v>
      </x:c>
      <x:c r="D1" s="18" t="str">
        <x:v>Date Precision</x:v>
      </x:c>
      <x:c r="E1" s="18" t="str">
        <x:v>Location ID</x:v>
      </x:c>
      <x:c r="F1" s="18" t="str">
        <x:v>Location Name</x:v>
      </x:c>
      <x:c r="G1" s="18" t="str">
        <x:v>Latitude (WGS84)</x:v>
      </x:c>
      <x:c r="H1" s="18" t="str">
        <x:v>Longitude (WGS84)</x:v>
      </x:c>
      <x:c r="I1" s="18" t="str">
        <x:v>Position Type</x:v>
      </x:c>
      <x:c r="J1" s="18" t="str">
        <x:v>Coordinate Basis</x:v>
      </x:c>
      <x:c r="K1" s="18" t="str">
        <x:v>Uncertainty (nm)</x:v>
      </x:c>
      <x:c r="L1" s="18" t="str">
        <x:v>Movement State</x:v>
      </x:c>
      <x:c r="M1" s="18" t="str">
        <x:v>Event Category</x:v>
      </x:c>
      <x:c r="N1" s="18" t="str">
        <x:v>Event / Action</x:v>
      </x:c>
      <x:c r="O1" s="18" t="str">
        <x:v>Historical Confidence</x:v>
      </x:c>
      <x:c r="P1" s="18" t="str">
        <x:v>Include Default Map</x:v>
      </x:c>
      <x:c r="Q1" s="18" t="str">
        <x:v>Source ID</x:v>
      </x:c>
      <x:c r="R1" s="18" t="str">
        <x:v>Source Locator</x:v>
      </x:c>
      <x:c r="S1" s="18" t="str">
        <x:v>Source URL</x:v>
      </x:c>
      <x:c r="T1" s="18" t="str">
        <x:v>Notes</x:v>
      </x:c>
    </x:row>
    <x:row r="2">
      <x:c r="A2" s="19" t="n">
        <x:v>1</x:v>
      </x:c>
      <x:c r="B2" s="20" t="n">
        <x:v>15981</x:v>
      </x:c>
      <x:c r="C2" s="20" t="n">
        <x:v>15981</x:v>
      </x:c>
      <x:c r="D2" s="28" t="str">
        <x:v>day</x:v>
      </x:c>
      <x:c r="E2" s="28" t="str">
        <x:v>LOC001</x:v>
      </x:c>
      <x:c r="F2" s="28" t="str">
        <x:v>Norfolk / Hampton Roads</x:v>
      </x:c>
      <x:c r="G2" s="29" t="n">
        <x:v>36.946</x:v>
      </x:c>
      <x:c r="H2" s="29" t="n">
        <x:v>-76.33</x:v>
      </x:c>
      <x:c r="I2" s="28" t="str">
        <x:v>point</x:v>
      </x:c>
      <x:c r="J2" s="28" t="str">
        <x:v>Harbor-area modeling point</x:v>
      </x:c>
      <x:c r="K2" s="28" t="n">
        <x:v>10</x:v>
      </x:c>
      <x:c r="L2" s="28" t="str">
        <x:v>depart</x:v>
      </x:c>
      <x:c r="M2" s="28" t="str">
        <x:v>Transit</x:v>
      </x:c>
      <x:c r="N2" s="28" t="str">
        <x:v>Departed Norfolk/Yorktown area for the Canal Zone and Pacific ports with Task Unit 29.2.5.</x:v>
      </x:c>
      <x:c r="O2" s="28" t="str">
        <x:v>high</x:v>
      </x:c>
      <x:c r="P2" s="30" t="b">
        <x:v>1</x:v>
      </x:c>
      <x:c r="Q2" s="28" t="str">
        <x:v>S1</x:v>
      </x:c>
      <x:c r="R2" s="28" t="str">
        <x:v>DANFS, para. beginning 'Late in September'; War Cruise p.7</x:v>
      </x:c>
      <x:c r="S2" s="28" t="str">
        <x:v>https://www.history.navy.mil/research/histories/ship-histories/danfs/t/terror-iii.html</x:v>
      </x:c>
      <x:c r="T2" s="28" t="str"/>
    </x:row>
    <x:row r="3">
      <x:c r="A3" s="19" t="n">
        <x:v>2</x:v>
      </x:c>
      <x:c r="B3" s="20" t="n">
        <x:v>15987</x:v>
      </x:c>
      <x:c r="C3" s="20" t="n">
        <x:v>15989</x:v>
      </x:c>
      <x:c r="D3" s="28" t="str">
        <x:v>range</x:v>
      </x:c>
      <x:c r="E3" s="28" t="str">
        <x:v>LOC002</x:v>
      </x:c>
      <x:c r="F3" s="28" t="str">
        <x:v>Panama Canal</x:v>
      </x:c>
      <x:c r="G3" s="29" t="n">
        <x:v>8.95</x:v>
      </x:c>
      <x:c r="H3" s="29" t="n">
        <x:v>-79.5667</x:v>
      </x:c>
      <x:c r="I3" s="28" t="str">
        <x:v>interval_at_location</x:v>
      </x:c>
      <x:c r="J3" s="28" t="str">
        <x:v>Canal transit modeling point</x:v>
      </x:c>
      <x:c r="K3" s="28" t="n">
        <x:v>15</x:v>
      </x:c>
      <x:c r="L3" s="28" t="str">
        <x:v>transit/stop</x:v>
      </x:c>
      <x:c r="M3" s="28" t="str">
        <x:v>Transit</x:v>
      </x:c>
      <x:c r="N3" s="28" t="str">
        <x:v>Passed through the Panama Canal; exact anchorage and lock timing not reconstructed.</x:v>
      </x:c>
      <x:c r="O3" s="28" t="str">
        <x:v>medium</x:v>
      </x:c>
      <x:c r="P3" s="30" t="b">
        <x:v>1</x:v>
      </x:c>
      <x:c r="Q3" s="28" t="str">
        <x:v>S2</x:v>
      </x:c>
      <x:c r="R3" s="28" t="str">
        <x:v>War Cruise p.7</x:v>
      </x:c>
      <x:c r="S3" s="28" t="str">
        <x:v>https://terror.ringleib.com/wp-content/uploads/2021/03/Ryan-BookUSSTerror-1.pdf</x:v>
      </x:c>
      <x:c r="T3" s="28" t="str"/>
    </x:row>
    <x:row r="4">
      <x:c r="A4" s="19" t="n">
        <x:v>3</x:v>
      </x:c>
      <x:c r="B4" s="20" t="n">
        <x:v>15998</x:v>
      </x:c>
      <x:c r="C4" s="20" t="n">
        <x:v>15998</x:v>
      </x:c>
      <x:c r="D4" s="28" t="str">
        <x:v>day</x:v>
      </x:c>
      <x:c r="E4" s="28" t="str">
        <x:v>LOC003</x:v>
      </x:c>
      <x:c r="F4" s="28" t="str">
        <x:v>San Francisco Bay</x:v>
      </x:c>
      <x:c r="G4" s="29" t="n">
        <x:v>37.8199</x:v>
      </x:c>
      <x:c r="H4" s="29" t="n">
        <x:v>-122.4783</x:v>
      </x:c>
      <x:c r="I4" s="28" t="str">
        <x:v>point</x:v>
      </x:c>
      <x:c r="J4" s="28" t="str">
        <x:v>Golden Gate transit point</x:v>
      </x:c>
      <x:c r="K4" s="28" t="n">
        <x:v>10</x:v>
      </x:c>
      <x:c r="L4" s="28" t="str">
        <x:v>arrive</x:v>
      </x:c>
      <x:c r="M4" s="28" t="str">
        <x:v>Port call</x:v>
      </x:c>
      <x:c r="N4" s="28" t="str">
        <x:v>Passed under the Golden Gate Bridge and anchored in San Francisco Bay.</x:v>
      </x:c>
      <x:c r="O4" s="28" t="str">
        <x:v>high</x:v>
      </x:c>
      <x:c r="P4" s="30" t="b">
        <x:v>1</x:v>
      </x:c>
      <x:c r="Q4" s="28" t="str">
        <x:v>S1</x:v>
      </x:c>
      <x:c r="R4" s="28" t="str">
        <x:v>DANFS, 19 Oct 1943</x:v>
      </x:c>
      <x:c r="S4" s="28" t="str">
        <x:v>https://www.history.navy.mil/research/histories/ship-histories/danfs/t/terror-iii.html</x:v>
      </x:c>
      <x:c r="T4" s="28" t="str"/>
    </x:row>
    <x:row r="5">
      <x:c r="A5" s="19" t="n">
        <x:v>4</x:v>
      </x:c>
      <x:c r="B5" s="20" t="n">
        <x:v>16004</x:v>
      </x:c>
      <x:c r="C5" s="20" t="n">
        <x:v>16012</x:v>
      </x:c>
      <x:c r="D5" s="28" t="str">
        <x:v>range</x:v>
      </x:c>
      <x:c r="E5" s="28" t="str">
        <x:v>LOC006</x:v>
      </x:c>
      <x:c r="F5" s="28" t="str">
        <x:v>Pearl Harbor</x:v>
      </x:c>
      <x:c r="G5" s="29" t="n">
        <x:v>21.344</x:v>
      </x:c>
      <x:c r="H5" s="29" t="n">
        <x:v>-157.975</x:v>
      </x:c>
      <x:c r="I5" s="28" t="str">
        <x:v>interval_at_location</x:v>
      </x:c>
      <x:c r="J5" s="28" t="str">
        <x:v>Harbor centroid</x:v>
      </x:c>
      <x:c r="K5" s="28" t="n">
        <x:v>5</x:v>
      </x:c>
      <x:c r="L5" s="28" t="str">
        <x:v>in port</x:v>
      </x:c>
      <x:c r="M5" s="28" t="str">
        <x:v>Logistics</x:v>
      </x:c>
      <x:c r="N5" s="28" t="str">
        <x:v>Arrived Pearl Harbor, embarked mines and received routing for Funafuti.</x:v>
      </x:c>
      <x:c r="O5" s="28" t="str">
        <x:v>high</x:v>
      </x:c>
      <x:c r="P5" s="30" t="b">
        <x:v>1</x:v>
      </x:c>
      <x:c r="Q5" s="28" t="str">
        <x:v>S2</x:v>
      </x:c>
      <x:c r="R5" s="28" t="str">
        <x:v>War Cruise p.7; Album p.4</x:v>
      </x:c>
      <x:c r="S5" s="28" t="str">
        <x:v>https://terror.ringleib.com/wp-content/uploads/2021/03/Ryan-BookUSSTerror-1.pdf</x:v>
      </x:c>
      <x:c r="T5" s="28" t="str"/>
    </x:row>
    <x:row r="6">
      <x:c r="A6" s="19" t="n">
        <x:v>5</x:v>
      </x:c>
      <x:c r="B6" s="20" t="n">
        <x:v>16019</x:v>
      </x:c>
      <x:c r="C6" s="20" t="n">
        <x:v>16038</x:v>
      </x:c>
      <x:c r="D6" s="28" t="str">
        <x:v>range</x:v>
      </x:c>
      <x:c r="E6" s="28" t="str">
        <x:v>LOC007</x:v>
      </x:c>
      <x:c r="F6" s="28" t="str">
        <x:v>Funafuti</x:v>
      </x:c>
      <x:c r="G6" s="29" t="n">
        <x:v>-8.5167</x:v>
      </x:c>
      <x:c r="H6" s="29" t="n">
        <x:v>179.2</x:v>
      </x:c>
      <x:c r="I6" s="28" t="str">
        <x:v>interval_at_location</x:v>
      </x:c>
      <x:c r="J6" s="28" t="str">
        <x:v>Atoll/anchorage centroid</x:v>
      </x:c>
      <x:c r="K6" s="28" t="n">
        <x:v>12</x:v>
      </x:c>
      <x:c r="L6" s="28" t="str">
        <x:v>anchored/operating</x:v>
      </x:c>
      <x:c r="M6" s="28" t="str">
        <x:v>Mine warfare support</x:v>
      </x:c>
      <x:c r="N6" s="28" t="str">
        <x:v>Supported survey and mining of Funafuti approaches; supplied water, provisions, repairs, and medical services; laid mooring buoys.</x:v>
      </x:c>
      <x:c r="O6" s="28" t="str">
        <x:v>high</x:v>
      </x:c>
      <x:c r="P6" s="30" t="b">
        <x:v>1</x:v>
      </x:c>
      <x:c r="Q6" s="28" t="str">
        <x:v>S1</x:v>
      </x:c>
      <x:c r="R6" s="28" t="str">
        <x:v>DANFS, 9–28 Nov 1943</x:v>
      </x:c>
      <x:c r="S6" s="28" t="str">
        <x:v>https://www.history.navy.mil/research/histories/ship-histories/danfs/t/terror-iii.html</x:v>
      </x:c>
      <x:c r="T6" s="28" t="str"/>
    </x:row>
    <x:row r="7">
      <x:c r="A7" s="19" t="n">
        <x:v>6</x:v>
      </x:c>
      <x:c r="B7" s="20" t="n">
        <x:v>16027</x:v>
      </x:c>
      <x:c r="C7" s="20" t="n">
        <x:v>16027</x:v>
      </x:c>
      <x:c r="D7" s="28" t="str">
        <x:v>day</x:v>
      </x:c>
      <x:c r="E7" s="28" t="str">
        <x:v>LOC007</x:v>
      </x:c>
      <x:c r="F7" s="28" t="str">
        <x:v>Funafuti</x:v>
      </x:c>
      <x:c r="G7" s="29" t="n">
        <x:v>-8.5167</x:v>
      </x:c>
      <x:c r="H7" s="29" t="n">
        <x:v>179.2</x:v>
      </x:c>
      <x:c r="I7" s="28" t="str">
        <x:v>point</x:v>
      </x:c>
      <x:c r="J7" s="28" t="str">
        <x:v>Atoll/anchorage centroid</x:v>
      </x:c>
      <x:c r="K7" s="28" t="n">
        <x:v>12</x:v>
      </x:c>
      <x:c r="L7" s="28" t="str">
        <x:v>anchored/combat</x:v>
      </x:c>
      <x:c r="M7" s="28" t="str">
        <x:v>Air attack</x:v>
      </x:c>
      <x:c r="N7" s="28" t="str">
        <x:v>Gunners fired on enemy aircraft for the first time during a Japanese raid on the Funafuti runway.</x:v>
      </x:c>
      <x:c r="O7" s="28" t="str">
        <x:v>high</x:v>
      </x:c>
      <x:c r="P7" s="30" t="b">
        <x:v>1</x:v>
      </x:c>
      <x:c r="Q7" s="28" t="str">
        <x:v>S1</x:v>
      </x:c>
      <x:c r="R7" s="28" t="str">
        <x:v>DANFS, 17 Nov 1943</x:v>
      </x:c>
      <x:c r="S7" s="28" t="str">
        <x:v>https://www.history.navy.mil/research/histories/ship-histories/danfs/t/terror-iii.html</x:v>
      </x:c>
      <x:c r="T7" s="28" t="str"/>
    </x:row>
    <x:row r="8">
      <x:c r="A8" s="19" t="n">
        <x:v>7</x:v>
      </x:c>
      <x:c r="B8" s="20" t="n">
        <x:v>16044</x:v>
      </x:c>
      <x:c r="C8" s="20" t="n">
        <x:v>16049</x:v>
      </x:c>
      <x:c r="D8" s="28" t="str">
        <x:v>range</x:v>
      </x:c>
      <x:c r="E8" s="28" t="str">
        <x:v>LOC006</x:v>
      </x:c>
      <x:c r="F8" s="28" t="str">
        <x:v>Pearl Harbor</x:v>
      </x:c>
      <x:c r="G8" s="29" t="n">
        <x:v>21.344</x:v>
      </x:c>
      <x:c r="H8" s="29" t="n">
        <x:v>-157.975</x:v>
      </x:c>
      <x:c r="I8" s="28" t="str">
        <x:v>interval_at_location</x:v>
      </x:c>
      <x:c r="J8" s="28" t="str">
        <x:v>Harbor centroid</x:v>
      </x:c>
      <x:c r="K8" s="28" t="n">
        <x:v>5</x:v>
      </x:c>
      <x:c r="L8" s="28" t="str">
        <x:v>in port</x:v>
      </x:c>
      <x:c r="M8" s="28" t="str">
        <x:v>Logistics</x:v>
      </x:c>
      <x:c r="N8" s="28" t="str">
        <x:v>Loaded mines and gear for Tarawa.</x:v>
      </x:c>
      <x:c r="O8" s="28" t="str">
        <x:v>high</x:v>
      </x:c>
      <x:c r="P8" s="30" t="b">
        <x:v>1</x:v>
      </x:c>
      <x:c r="Q8" s="28" t="str">
        <x:v>S2</x:v>
      </x:c>
      <x:c r="R8" s="28" t="str">
        <x:v>War Cruise p.7; narrative p.17–18</x:v>
      </x:c>
      <x:c r="S8" s="28" t="str">
        <x:v>https://terror.ringleib.com/wp-content/uploads/2021/03/Ryan-BookUSSTerror-1.pdf</x:v>
      </x:c>
      <x:c r="T8" s="28" t="str"/>
    </x:row>
    <x:row r="9">
      <x:c r="A9" s="19" t="n">
        <x:v>8</x:v>
      </x:c>
      <x:c r="B9" s="20" t="n">
        <x:v>16054</x:v>
      </x:c>
      <x:c r="C9" s="20" t="n">
        <x:v>16065</x:v>
      </x:c>
      <x:c r="D9" s="28" t="str">
        <x:v>range</x:v>
      </x:c>
      <x:c r="E9" s="28" t="str">
        <x:v>LOC008</x:v>
      </x:c>
      <x:c r="F9" s="28" t="str">
        <x:v>Tarawa</x:v>
      </x:c>
      <x:c r="G9" s="29" t="n">
        <x:v>1.35</x:v>
      </x:c>
      <x:c r="H9" s="29" t="n">
        <x:v>172.93</x:v>
      </x:c>
      <x:c r="I9" s="28" t="str">
        <x:v>interval_at_location</x:v>
      </x:c>
      <x:c r="J9" s="28" t="str">
        <x:v>Atoll operational centroid</x:v>
      </x:c>
      <x:c r="K9" s="28" t="n">
        <x:v>15</x:v>
      </x:c>
      <x:c r="L9" s="28" t="str">
        <x:v>anchored/operating</x:v>
      </x:c>
      <x:c r="M9" s="28" t="str">
        <x:v>Mine warfare support</x:v>
      </x:c>
      <x:c r="N9" s="28" t="str">
        <x:v>Provided heavy equipment and mines to mine details at Tarawa amid recurring Japanese air activity.</x:v>
      </x:c>
      <x:c r="O9" s="28" t="str">
        <x:v>high</x:v>
      </x:c>
      <x:c r="P9" s="30" t="b">
        <x:v>1</x:v>
      </x:c>
      <x:c r="Q9" s="28" t="str">
        <x:v>S1</x:v>
      </x:c>
      <x:c r="R9" s="28" t="str">
        <x:v>DANFS, Dec 1943; War Cruise p.7</x:v>
      </x:c>
      <x:c r="S9" s="28" t="str">
        <x:v>https://www.history.navy.mil/research/histories/ship-histories/danfs/t/terror-iii.html</x:v>
      </x:c>
      <x:c r="T9" s="28" t="str"/>
    </x:row>
    <x:row r="10">
      <x:c r="A10" s="19" t="n">
        <x:v>9</x:v>
      </x:c>
      <x:c r="B10" s="20" t="n">
        <x:v>16069</x:v>
      </x:c>
      <x:c r="C10" s="20" t="n">
        <x:v>16079</x:v>
      </x:c>
      <x:c r="D10" s="28" t="str">
        <x:v>range</x:v>
      </x:c>
      <x:c r="E10" s="28" t="str">
        <x:v>LOC009</x:v>
      </x:c>
      <x:c r="F10" s="28" t="str">
        <x:v>Espiritu Santo</x:v>
      </x:c>
      <x:c r="G10" s="29" t="n">
        <x:v>-15.5167</x:v>
      </x:c>
      <x:c r="H10" s="29" t="n">
        <x:v>167.1833</x:v>
      </x:c>
      <x:c r="I10" s="28" t="str">
        <x:v>interval_at_location</x:v>
      </x:c>
      <x:c r="J10" s="28" t="str">
        <x:v>Harbor centroid</x:v>
      </x:c>
      <x:c r="K10" s="28" t="n">
        <x:v>10</x:v>
      </x:c>
      <x:c r="L10" s="28" t="str">
        <x:v>in port/operating</x:v>
      </x:c>
      <x:c r="M10" s="28" t="str">
        <x:v>Logistics</x:v>
      </x:c>
      <x:c r="N10" s="28" t="str">
        <x:v>Delivered mines and heavy equipment; New Year's Day 1944 was spent at Espiritu Santo.</x:v>
      </x:c>
      <x:c r="O10" s="28" t="str">
        <x:v>high</x:v>
      </x:c>
      <x:c r="P10" s="30" t="b">
        <x:v>1</x:v>
      </x:c>
      <x:c r="Q10" s="28" t="str">
        <x:v>S2</x:v>
      </x:c>
      <x:c r="R10" s="28" t="str">
        <x:v>War Cruise p.7; Album p.4</x:v>
      </x:c>
      <x:c r="S10" s="28" t="str">
        <x:v>https://terror.ringleib.com/wp-content/uploads/2021/03/Ryan-BookUSSTerror-1.pdf</x:v>
      </x:c>
      <x:c r="T10" s="28" t="str"/>
    </x:row>
    <x:row r="11">
      <x:c r="A11" s="19" t="n">
        <x:v>10</x:v>
      </x:c>
      <x:c r="B11" s="20" t="n">
        <x:v>16084</x:v>
      </x:c>
      <x:c r="C11" s="20" t="n">
        <x:v>16086</x:v>
      </x:c>
      <x:c r="D11" s="28" t="str">
        <x:v>range</x:v>
      </x:c>
      <x:c r="E11" s="28" t="str">
        <x:v>LOC010</x:v>
      </x:c>
      <x:c r="F11" s="28" t="str">
        <x:v>Guadalcanal</x:v>
      </x:c>
      <x:c r="G11" s="29" t="n">
        <x:v>-9.433</x:v>
      </x:c>
      <x:c r="H11" s="29" t="n">
        <x:v>159.95</x:v>
      </x:c>
      <x:c r="I11" s="28" t="str">
        <x:v>interval_at_location</x:v>
      </x:c>
      <x:c r="J11" s="28" t="str">
        <x:v>Coastal operational centroid</x:v>
      </x:c>
      <x:c r="K11" s="28" t="n">
        <x:v>15</x:v>
      </x:c>
      <x:c r="L11" s="28" t="str">
        <x:v>in port/operating</x:v>
      </x:c>
      <x:c r="M11" s="28" t="str">
        <x:v>Logistics</x:v>
      </x:c>
      <x:c r="N11" s="28" t="str">
        <x:v>Delivered advance-base mine equipment at Guadalcanal.</x:v>
      </x:c>
      <x:c r="O11" s="28" t="str">
        <x:v>high</x:v>
      </x:c>
      <x:c r="P11" s="30" t="b">
        <x:v>1</x:v>
      </x:c>
      <x:c r="Q11" s="28" t="str">
        <x:v>S1</x:v>
      </x:c>
      <x:c r="R11" s="28" t="str">
        <x:v>DANFS, Jan 1944</x:v>
      </x:c>
      <x:c r="S11" s="28" t="str">
        <x:v>https://www.history.navy.mil/research/histories/ship-histories/danfs/t/terror-iii.html</x:v>
      </x:c>
      <x:c r="T11" s="28" t="str"/>
    </x:row>
    <x:row r="12">
      <x:c r="A12" s="19" t="n">
        <x:v>11</x:v>
      </x:c>
      <x:c r="B12" s="20" t="n">
        <x:v>16089</x:v>
      </x:c>
      <x:c r="C12" s="20" t="n">
        <x:v>16099</x:v>
      </x:c>
      <x:c r="D12" s="28" t="str">
        <x:v>range</x:v>
      </x:c>
      <x:c r="E12" s="28" t="str">
        <x:v>LOC011</x:v>
      </x:c>
      <x:c r="F12" s="28" t="str">
        <x:v>Makin</x:v>
      </x:c>
      <x:c r="G12" s="29" t="n">
        <x:v>3.167</x:v>
      </x:c>
      <x:c r="H12" s="29" t="n">
        <x:v>172.833</x:v>
      </x:c>
      <x:c r="I12" s="28" t="str">
        <x:v>interval_at_location</x:v>
      </x:c>
      <x:c r="J12" s="28" t="str">
        <x:v>Lagoon centroid</x:v>
      </x:c>
      <x:c r="K12" s="28" t="n">
        <x:v>12</x:v>
      </x:c>
      <x:c r="L12" s="28" t="str">
        <x:v>anchored/operating</x:v>
      </x:c>
      <x:c r="M12" s="28" t="str">
        <x:v>Mine warfare</x:v>
      </x:c>
      <x:c r="N12" s="28" t="str">
        <x:v>Surveyed lagoon passes and prepared a self-propelled barge to mine channels.</x:v>
      </x:c>
      <x:c r="O12" s="28" t="str">
        <x:v>high</x:v>
      </x:c>
      <x:c r="P12" s="30" t="b">
        <x:v>1</x:v>
      </x:c>
      <x:c r="Q12" s="28" t="str">
        <x:v>S1</x:v>
      </x:c>
      <x:c r="R12" s="28" t="str">
        <x:v>DANFS, 18–28 Jan 1944</x:v>
      </x:c>
      <x:c r="S12" s="28" t="str">
        <x:v>https://www.history.navy.mil/research/histories/ship-histories/danfs/t/terror-iii.html</x:v>
      </x:c>
      <x:c r="T12" s="28" t="str"/>
    </x:row>
    <x:row r="13">
      <x:c r="A13" s="19" t="n">
        <x:v>12</x:v>
      </x:c>
      <x:c r="B13" s="20" t="n">
        <x:v>16100</x:v>
      </x:c>
      <x:c r="C13" s="20" t="n">
        <x:v>16102</x:v>
      </x:c>
      <x:c r="D13" s="28" t="str">
        <x:v>estimated range</x:v>
      </x:c>
      <x:c r="E13" s="28" t="str">
        <x:v>LOC008</x:v>
      </x:c>
      <x:c r="F13" s="28" t="str">
        <x:v>Tarawa</x:v>
      </x:c>
      <x:c r="G13" s="29" t="n">
        <x:v>1.35</x:v>
      </x:c>
      <x:c r="H13" s="29" t="n">
        <x:v>172.93</x:v>
      </x:c>
      <x:c r="I13" s="28" t="str">
        <x:v>interval_at_location</x:v>
      </x:c>
      <x:c r="J13" s="28" t="str">
        <x:v>Atoll operational centroid</x:v>
      </x:c>
      <x:c r="K13" s="28" t="n">
        <x:v>15</x:v>
      </x:c>
      <x:c r="L13" s="28" t="str">
        <x:v>brief stop</x:v>
      </x:c>
      <x:c r="M13" s="28" t="str">
        <x:v>Personnel/logistics</x:v>
      </x:c>
      <x:c r="N13" s="28" t="str">
        <x:v>Brief Tarawa stop to embark Mine Detail 19 before returning to Pearl Harbor.</x:v>
      </x:c>
      <x:c r="O13" s="28" t="str">
        <x:v>medium</x:v>
      </x:c>
      <x:c r="P13" s="30" t="b">
        <x:v>1</x:v>
      </x:c>
      <x:c r="Q13" s="28" t="str">
        <x:v>S1</x:v>
      </x:c>
      <x:c r="R13" s="28" t="str">
        <x:v>DANFS, late Jan 1944</x:v>
      </x:c>
      <x:c r="S13" s="28" t="str">
        <x:v>https://www.history.navy.mil/research/histories/ship-histories/danfs/t/terror-iii.html</x:v>
      </x:c>
      <x:c r="T13" s="28" t="str">
        <x:v>Arrival date estimated from Makin departure on 28 Jan and departure for Pearl Harbor on 31 Jan.</x:v>
      </x:c>
    </x:row>
    <x:row r="14">
      <x:c r="A14" s="19" t="n">
        <x:v>13</x:v>
      </x:c>
      <x:c r="B14" s="20" t="n">
        <x:v>16108</x:v>
      </x:c>
      <x:c r="C14" s="20" t="n">
        <x:v>16115</x:v>
      </x:c>
      <x:c r="D14" s="28" t="str">
        <x:v>range</x:v>
      </x:c>
      <x:c r="E14" s="28" t="str">
        <x:v>LOC006</x:v>
      </x:c>
      <x:c r="F14" s="28" t="str">
        <x:v>Pearl Harbor</x:v>
      </x:c>
      <x:c r="G14" s="29" t="n">
        <x:v>21.344</x:v>
      </x:c>
      <x:c r="H14" s="29" t="n">
        <x:v>-157.975</x:v>
      </x:c>
      <x:c r="I14" s="28" t="str">
        <x:v>interval_at_location</x:v>
      </x:c>
      <x:c r="J14" s="28" t="str">
        <x:v>Harbor centroid</x:v>
      </x:c>
      <x:c r="K14" s="28" t="n">
        <x:v>5</x:v>
      </x:c>
      <x:c r="L14" s="28" t="str">
        <x:v>in port</x:v>
      </x:c>
      <x:c r="M14" s="28" t="str">
        <x:v>Transport preparation</x:v>
      </x:c>
      <x:c r="N14" s="28" t="str">
        <x:v>Returned to Pearl Harbor and embarked passengers for San Francisco.</x:v>
      </x:c>
      <x:c r="O14" s="28" t="str">
        <x:v>high</x:v>
      </x:c>
      <x:c r="P14" s="30" t="b">
        <x:v>1</x:v>
      </x:c>
      <x:c r="Q14" s="28" t="str">
        <x:v>S2</x:v>
      </x:c>
      <x:c r="R14" s="28" t="str">
        <x:v>War Cruise p.7</x:v>
      </x:c>
      <x:c r="S14" s="28" t="str">
        <x:v>https://terror.ringleib.com/wp-content/uploads/2021/03/Ryan-BookUSSTerror-1.pdf</x:v>
      </x:c>
      <x:c r="T14" s="28" t="str"/>
    </x:row>
    <x:row r="15">
      <x:c r="A15" s="19" t="n">
        <x:v>14</x:v>
      </x:c>
      <x:c r="B15" s="20" t="n">
        <x:v>16120</x:v>
      </x:c>
      <x:c r="C15" s="20" t="n">
        <x:v>16123</x:v>
      </x:c>
      <x:c r="D15" s="28" t="str">
        <x:v>range</x:v>
      </x:c>
      <x:c r="E15" s="28" t="str">
        <x:v>LOC003</x:v>
      </x:c>
      <x:c r="F15" s="28" t="str">
        <x:v>San Francisco Bay</x:v>
      </x:c>
      <x:c r="G15" s="29" t="n">
        <x:v>37.8199</x:v>
      </x:c>
      <x:c r="H15" s="29" t="n">
        <x:v>-122.4783</x:v>
      </x:c>
      <x:c r="I15" s="28" t="str">
        <x:v>interval_at_location</x:v>
      </x:c>
      <x:c r="J15" s="28" t="str">
        <x:v>Golden Gate transit point</x:v>
      </x:c>
      <x:c r="K15" s="28" t="n">
        <x:v>10</x:v>
      </x:c>
      <x:c r="L15" s="28" t="str">
        <x:v>in port</x:v>
      </x:c>
      <x:c r="M15" s="28" t="str">
        <x:v>Passenger transport</x:v>
      </x:c>
      <x:c r="N15" s="28" t="str">
        <x:v>Three-day San Francisco stay after transporting more than 500 passengers.</x:v>
      </x:c>
      <x:c r="O15" s="28" t="str">
        <x:v>high</x:v>
      </x:c>
      <x:c r="P15" s="30" t="b">
        <x:v>1</x:v>
      </x:c>
      <x:c r="Q15" s="28" t="str">
        <x:v>S1</x:v>
      </x:c>
      <x:c r="R15" s="28" t="str">
        <x:v>DANFS, Feb 1944</x:v>
      </x:c>
      <x:c r="S15" s="28" t="str">
        <x:v>https://www.history.navy.mil/research/histories/ship-histories/danfs/t/terror-iii.html</x:v>
      </x:c>
      <x:c r="T15" s="28" t="str"/>
    </x:row>
    <x:row r="16">
      <x:c r="A16" s="19" t="n">
        <x:v>15</x:v>
      </x:c>
      <x:c r="B16" s="20" t="n">
        <x:v>16128</x:v>
      </x:c>
      <x:c r="C16" s="20" t="n">
        <x:v>16136</x:v>
      </x:c>
      <x:c r="D16" s="28" t="str">
        <x:v>range</x:v>
      </x:c>
      <x:c r="E16" s="28" t="str">
        <x:v>LOC006</x:v>
      </x:c>
      <x:c r="F16" s="28" t="str">
        <x:v>Pearl Harbor</x:v>
      </x:c>
      <x:c r="G16" s="29" t="n">
        <x:v>21.344</x:v>
      </x:c>
      <x:c r="H16" s="29" t="n">
        <x:v>-157.975</x:v>
      </x:c>
      <x:c r="I16" s="28" t="str">
        <x:v>interval_at_location</x:v>
      </x:c>
      <x:c r="J16" s="28" t="str">
        <x:v>Harbor centroid</x:v>
      </x:c>
      <x:c r="K16" s="28" t="n">
        <x:v>5</x:v>
      </x:c>
      <x:c r="L16" s="28" t="str">
        <x:v>in port</x:v>
      </x:c>
      <x:c r="M16" s="28" t="str">
        <x:v>Logistics</x:v>
      </x:c>
      <x:c r="N16" s="28" t="str">
        <x:v>Discharged passengers and prepared for Marshall Islands operations.</x:v>
      </x:c>
      <x:c r="O16" s="28" t="str">
        <x:v>high</x:v>
      </x:c>
      <x:c r="P16" s="30" t="b">
        <x:v>1</x:v>
      </x:c>
      <x:c r="Q16" s="28" t="str">
        <x:v>S2</x:v>
      </x:c>
      <x:c r="R16" s="28" t="str">
        <x:v>War Cruise p.7</x:v>
      </x:c>
      <x:c r="S16" s="28" t="str">
        <x:v>https://terror.ringleib.com/wp-content/uploads/2021/03/Ryan-BookUSSTerror-1.pdf</x:v>
      </x:c>
      <x:c r="T16" s="28" t="str"/>
    </x:row>
    <x:row r="17">
      <x:c r="A17" s="19" t="n">
        <x:v>16</x:v>
      </x:c>
      <x:c r="B17" s="20" t="n">
        <x:v>16141</x:v>
      </x:c>
      <x:c r="C17" s="20" t="n">
        <x:v>16184</x:v>
      </x:c>
      <x:c r="D17" s="28" t="str">
        <x:v>range</x:v>
      </x:c>
      <x:c r="E17" s="28" t="str">
        <x:v>LOC012</x:v>
      </x:c>
      <x:c r="F17" s="28" t="str">
        <x:v>Majuro</x:v>
      </x:c>
      <x:c r="G17" s="29" t="n">
        <x:v>7.1167</x:v>
      </x:c>
      <x:c r="H17" s="29" t="n">
        <x:v>171.3667</x:v>
      </x:c>
      <x:c r="I17" s="28" t="str">
        <x:v>interval_at_location</x:v>
      </x:c>
      <x:c r="J17" s="28" t="str">
        <x:v>Atoll/anchorage centroid</x:v>
      </x:c>
      <x:c r="K17" s="28" t="n">
        <x:v>12</x:v>
      </x:c>
      <x:c r="L17" s="28" t="str">
        <x:v>operating/base</x:v>
      </x:c>
      <x:c r="M17" s="28" t="str">
        <x:v>Marshall Islands operations</x:v>
      </x:c>
      <x:c r="N17" s="28" t="str">
        <x:v>Majuro served as a recurring base for minelaying and logistics circuits to Kwajalein and Enewetak.</x:v>
      </x:c>
      <x:c r="O17" s="28" t="str">
        <x:v>high</x:v>
      </x:c>
      <x:c r="P17" s="30" t="b">
        <x:v>1</x:v>
      </x:c>
      <x:c r="Q17" s="28" t="str">
        <x:v>S1</x:v>
      </x:c>
      <x:c r="R17" s="28" t="str">
        <x:v>DANFS, Mar–Apr 1944</x:v>
      </x:c>
      <x:c r="S17" s="28" t="str">
        <x:v>https://www.history.navy.mil/research/histories/ship-histories/danfs/t/terror-iii.html</x:v>
      </x:c>
      <x:c r="T17" s="28" t="str">
        <x:v>This interval is represented by separate route legs and repeated point events.</x:v>
      </x:c>
    </x:row>
    <x:row r="18">
      <x:c r="A18" s="19" t="n">
        <x:v>17</x:v>
      </x:c>
      <x:c r="B18" s="20" t="n">
        <x:v>16143</x:v>
      </x:c>
      <x:c r="C18" s="20" t="n">
        <x:v>16147</x:v>
      </x:c>
      <x:c r="D18" s="28" t="str">
        <x:v>range</x:v>
      </x:c>
      <x:c r="E18" s="28" t="str">
        <x:v>LOC013</x:v>
      </x:c>
      <x:c r="F18" s="28" t="str">
        <x:v>Kwajalein</x:v>
      </x:c>
      <x:c r="G18" s="29" t="n">
        <x:v>8.7167</x:v>
      </x:c>
      <x:c r="H18" s="29" t="n">
        <x:v>167.7333</x:v>
      </x:c>
      <x:c r="I18" s="28" t="str">
        <x:v>interval_at_location</x:v>
      </x:c>
      <x:c r="J18" s="28" t="str">
        <x:v>Atoll/anchorage centroid</x:v>
      </x:c>
      <x:c r="K18" s="28" t="n">
        <x:v>15</x:v>
      </x:c>
      <x:c r="L18" s="28" t="str">
        <x:v>anchored/operating</x:v>
      </x:c>
      <x:c r="M18" s="28" t="str">
        <x:v>Mine warfare/logistics</x:v>
      </x:c>
      <x:c r="N18" s="28" t="str">
        <x:v>First documented March circuit at Kwajalein.</x:v>
      </x:c>
      <x:c r="O18" s="28" t="str">
        <x:v>medium-high</x:v>
      </x:c>
      <x:c r="P18" s="30" t="b">
        <x:v>1</x:v>
      </x:c>
      <x:c r="Q18" s="28" t="str">
        <x:v>S2</x:v>
      </x:c>
      <x:c r="R18" s="28" t="str">
        <x:v>War Cruise p.7</x:v>
      </x:c>
      <x:c r="S18" s="28" t="str">
        <x:v>https://terror.ringleib.com/wp-content/uploads/2021/03/Ryan-BookUSSTerror-1.pdf</x:v>
      </x:c>
      <x:c r="T18" s="28" t="str"/>
    </x:row>
    <x:row r="19">
      <x:c r="A19" s="19" t="n">
        <x:v>18</x:v>
      </x:c>
      <x:c r="B19" s="20" t="n">
        <x:v>16158</x:v>
      </x:c>
      <x:c r="C19" s="20" t="n">
        <x:v>16167</x:v>
      </x:c>
      <x:c r="D19" s="28" t="str">
        <x:v>range</x:v>
      </x:c>
      <x:c r="E19" s="28" t="str">
        <x:v>LOC013</x:v>
      </x:c>
      <x:c r="F19" s="28" t="str">
        <x:v>Kwajalein</x:v>
      </x:c>
      <x:c r="G19" s="29" t="n">
        <x:v>8.7167</x:v>
      </x:c>
      <x:c r="H19" s="29" t="n">
        <x:v>167.7333</x:v>
      </x:c>
      <x:c r="I19" s="28" t="str">
        <x:v>interval_at_location</x:v>
      </x:c>
      <x:c r="J19" s="28" t="str">
        <x:v>Atoll/anchorage centroid</x:v>
      </x:c>
      <x:c r="K19" s="28" t="n">
        <x:v>15</x:v>
      </x:c>
      <x:c r="L19" s="28" t="str">
        <x:v>anchored/operating</x:v>
      </x:c>
      <x:c r="M19" s="28" t="str">
        <x:v>Mine warfare/logistics</x:v>
      </x:c>
      <x:c r="N19" s="28" t="str">
        <x:v>Second documented Majuro–Kwajalein circuit.</x:v>
      </x:c>
      <x:c r="O19" s="28" t="str">
        <x:v>medium-high</x:v>
      </x:c>
      <x:c r="P19" s="30" t="b">
        <x:v>1</x:v>
      </x:c>
      <x:c r="Q19" s="28" t="str">
        <x:v>S2</x:v>
      </x:c>
      <x:c r="R19" s="28" t="str">
        <x:v>War Cruise p.7</x:v>
      </x:c>
      <x:c r="S19" s="28" t="str">
        <x:v>https://terror.ringleib.com/wp-content/uploads/2021/03/Ryan-BookUSSTerror-1.pdf</x:v>
      </x:c>
      <x:c r="T19" s="28" t="str"/>
    </x:row>
    <x:row r="20">
      <x:c r="A20" s="19" t="n">
        <x:v>19</x:v>
      </x:c>
      <x:c r="B20" s="20" t="n">
        <x:v>16176</x:v>
      </x:c>
      <x:c r="C20" s="20" t="n">
        <x:v>16184</x:v>
      </x:c>
      <x:c r="D20" s="28" t="str">
        <x:v>estimated range</x:v>
      </x:c>
      <x:c r="E20" s="28" t="str">
        <x:v>LOC014</x:v>
      </x:c>
      <x:c r="F20" s="28" t="str">
        <x:v>Enewetak</x:v>
      </x:c>
      <x:c r="G20" s="29" t="n">
        <x:v>11.35</x:v>
      </x:c>
      <x:c r="H20" s="29" t="n">
        <x:v>162.35</x:v>
      </x:c>
      <x:c r="I20" s="28" t="str">
        <x:v>interval_at_location</x:v>
      </x:c>
      <x:c r="J20" s="28" t="str">
        <x:v>Atoll/anchorage centroid</x:v>
      </x:c>
      <x:c r="K20" s="28" t="n">
        <x:v>15</x:v>
      </x:c>
      <x:c r="L20" s="28" t="str">
        <x:v>anchored/operating</x:v>
      </x:c>
      <x:c r="M20" s="28" t="str">
        <x:v>Mine warfare/logistics</x:v>
      </x:c>
      <x:c r="N20" s="28" t="str">
        <x:v>Enewetak operations before return toward Hawaii.</x:v>
      </x:c>
      <x:c r="O20" s="28" t="str">
        <x:v>medium</x:v>
      </x:c>
      <x:c r="P20" s="30" t="b">
        <x:v>1</x:v>
      </x:c>
      <x:c r="Q20" s="28" t="str">
        <x:v>S1</x:v>
      </x:c>
      <x:c r="R20" s="28" t="str">
        <x:v>DANFS, Mar–Apr 1944; War Cruise p.7</x:v>
      </x:c>
      <x:c r="S20" s="28" t="str">
        <x:v>https://www.history.navy.mil/research/histories/ship-histories/danfs/t/terror-iii.html</x:v>
      </x:c>
      <x:c r="T20" s="28" t="str">
        <x:v>War Cruise gives 17–20 Apr for Enewetak–Pearl, but that duration is implausibly short and conflicts with DANFS departure on 22 Apr.</x:v>
      </x:c>
    </x:row>
    <x:row r="21">
      <x:c r="A21" s="19" t="n">
        <x:v>20</x:v>
      </x:c>
      <x:c r="B21" s="20" t="n">
        <x:v>16191</x:v>
      </x:c>
      <x:c r="C21" s="20" t="n">
        <x:v>16216</x:v>
      </x:c>
      <x:c r="D21" s="28" t="str">
        <x:v>estimated range</x:v>
      </x:c>
      <x:c r="E21" s="28" t="str">
        <x:v>LOC006</x:v>
      </x:c>
      <x:c r="F21" s="28" t="str">
        <x:v>Pearl Harbor</x:v>
      </x:c>
      <x:c r="G21" s="29" t="n">
        <x:v>21.344</x:v>
      </x:c>
      <x:c r="H21" s="29" t="n">
        <x:v>-157.975</x:v>
      </x:c>
      <x:c r="I21" s="28" t="str">
        <x:v>interval_at_location</x:v>
      </x:c>
      <x:c r="J21" s="28" t="str">
        <x:v>Harbor centroid</x:v>
      </x:c>
      <x:c r="K21" s="28" t="n">
        <x:v>5</x:v>
      </x:c>
      <x:c r="L21" s="28" t="str">
        <x:v>in port</x:v>
      </x:c>
      <x:c r="M21" s="28" t="str">
        <x:v>Repair/training/logistics</x:v>
      </x:c>
      <x:c r="N21" s="28" t="str">
        <x:v>Pearl Harbor repairs, mine loading, and gunnery exercises.</x:v>
      </x:c>
      <x:c r="O21" s="28" t="str">
        <x:v>medium-high</x:v>
      </x:c>
      <x:c r="P21" s="30" t="b">
        <x:v>1</x:v>
      </x:c>
      <x:c r="Q21" s="28" t="str">
        <x:v>S1</x:v>
      </x:c>
      <x:c r="R21" s="28" t="str">
        <x:v>DANFS, Apr–May 1944</x:v>
      </x:c>
      <x:c r="S21" s="28" t="str">
        <x:v>https://www.history.navy.mil/research/histories/ship-histories/danfs/t/terror-iii.html</x:v>
      </x:c>
      <x:c r="T21" s="28" t="str">
        <x:v>Arrival date estimated from normal transit after official 22 Apr departure from the Marshalls.</x:v>
      </x:c>
    </x:row>
    <x:row r="22">
      <x:c r="A22" s="19" t="n">
        <x:v>21</x:v>
      </x:c>
      <x:c r="B22" s="20" t="n">
        <x:v>16222</x:v>
      </x:c>
      <x:c r="C22" s="20" t="n">
        <x:v>16229</x:v>
      </x:c>
      <x:c r="D22" s="28" t="str">
        <x:v>range</x:v>
      </x:c>
      <x:c r="E22" s="28" t="str">
        <x:v>LOC012</x:v>
      </x:c>
      <x:c r="F22" s="28" t="str">
        <x:v>Majuro</x:v>
      </x:c>
      <x:c r="G22" s="29" t="n">
        <x:v>7.1167</x:v>
      </x:c>
      <x:c r="H22" s="29" t="n">
        <x:v>171.3667</x:v>
      </x:c>
      <x:c r="I22" s="28" t="str">
        <x:v>interval_at_location</x:v>
      </x:c>
      <x:c r="J22" s="28" t="str">
        <x:v>Atoll/anchorage centroid</x:v>
      </x:c>
      <x:c r="K22" s="28" t="n">
        <x:v>12</x:v>
      </x:c>
      <x:c r="L22" s="28" t="str">
        <x:v>anchored/operating</x:v>
      </x:c>
      <x:c r="M22" s="28" t="str">
        <x:v>Logistics</x:v>
      </x:c>
      <x:c r="N22" s="28" t="str">
        <x:v>Returned to Majuro as part of ammunition, mine, and bomb supply circuits.</x:v>
      </x:c>
      <x:c r="O22" s="28" t="str">
        <x:v>medium-high</x:v>
      </x:c>
      <x:c r="P22" s="30" t="b">
        <x:v>1</x:v>
      </x:c>
      <x:c r="Q22" s="28" t="str">
        <x:v>S2</x:v>
      </x:c>
      <x:c r="R22" s="28" t="str">
        <x:v>War Cruise p.7</x:v>
      </x:c>
      <x:c r="S22" s="28" t="str">
        <x:v>https://terror.ringleib.com/wp-content/uploads/2021/03/Ryan-BookUSSTerror-1.pdf</x:v>
      </x:c>
      <x:c r="T22" s="28" t="str"/>
    </x:row>
    <x:row r="23">
      <x:c r="A23" s="19" t="n">
        <x:v>22</x:v>
      </x:c>
      <x:c r="B23" s="20" t="n">
        <x:v>16230</x:v>
      </x:c>
      <x:c r="C23" s="20" t="n">
        <x:v>16240</x:v>
      </x:c>
      <x:c r="D23" s="28" t="str">
        <x:v>range</x:v>
      </x:c>
      <x:c r="E23" s="28" t="str">
        <x:v>LOC011</x:v>
      </x:c>
      <x:c r="F23" s="28" t="str">
        <x:v>Makin</x:v>
      </x:c>
      <x:c r="G23" s="29" t="n">
        <x:v>3.167</x:v>
      </x:c>
      <x:c r="H23" s="29" t="n">
        <x:v>172.833</x:v>
      </x:c>
      <x:c r="I23" s="28" t="str">
        <x:v>interval_at_location</x:v>
      </x:c>
      <x:c r="J23" s="28" t="str">
        <x:v>Lagoon centroid</x:v>
      </x:c>
      <x:c r="K23" s="28" t="n">
        <x:v>12</x:v>
      </x:c>
      <x:c r="L23" s="28" t="str">
        <x:v>anchored/operating</x:v>
      </x:c>
      <x:c r="M23" s="28" t="str">
        <x:v>Logistics</x:v>
      </x:c>
      <x:c r="N23" s="28" t="str">
        <x:v>Makin logistics stop during the summer supply circuit.</x:v>
      </x:c>
      <x:c r="O23" s="28" t="str">
        <x:v>medium-high</x:v>
      </x:c>
      <x:c r="P23" s="30" t="b">
        <x:v>1</x:v>
      </x:c>
      <x:c r="Q23" s="28" t="str">
        <x:v>S2</x:v>
      </x:c>
      <x:c r="R23" s="28" t="str">
        <x:v>War Cruise p.7</x:v>
      </x:c>
      <x:c r="S23" s="28" t="str">
        <x:v>https://terror.ringleib.com/wp-content/uploads/2021/03/Ryan-BookUSSTerror-1.pdf</x:v>
      </x:c>
      <x:c r="T23" s="28" t="str"/>
    </x:row>
    <x:row r="24">
      <x:c r="A24" s="19" t="n">
        <x:v>23</x:v>
      </x:c>
      <x:c r="B24" s="20" t="n">
        <x:v>16241</x:v>
      </x:c>
      <x:c r="C24" s="20" t="n">
        <x:v>16260</x:v>
      </x:c>
      <x:c r="D24" s="28" t="str">
        <x:v>range</x:v>
      </x:c>
      <x:c r="E24" s="28" t="str">
        <x:v>LOC014</x:v>
      </x:c>
      <x:c r="F24" s="28" t="str">
        <x:v>Enewetak</x:v>
      </x:c>
      <x:c r="G24" s="29" t="n">
        <x:v>11.35</x:v>
      </x:c>
      <x:c r="H24" s="29" t="n">
        <x:v>162.35</x:v>
      </x:c>
      <x:c r="I24" s="28" t="str">
        <x:v>interval_at_location</x:v>
      </x:c>
      <x:c r="J24" s="28" t="str">
        <x:v>Atoll/anchorage centroid</x:v>
      </x:c>
      <x:c r="K24" s="28" t="n">
        <x:v>15</x:v>
      </x:c>
      <x:c r="L24" s="28" t="str">
        <x:v>anchored/operating</x:v>
      </x:c>
      <x:c r="M24" s="28" t="str">
        <x:v>Logistics/casualty transport</x:v>
      </x:c>
      <x:c r="N24" s="28" t="str">
        <x:v>Enewetak logistics; later carried American casualties and Japanese prisoners toward Pearl Harbor.</x:v>
      </x:c>
      <x:c r="O24" s="28" t="str">
        <x:v>medium-high</x:v>
      </x:c>
      <x:c r="P24" s="30" t="b">
        <x:v>1</x:v>
      </x:c>
      <x:c r="Q24" s="28" t="str">
        <x:v>S2</x:v>
      </x:c>
      <x:c r="R24" s="28" t="str">
        <x:v>War Cruise p.7; Album p.4</x:v>
      </x:c>
      <x:c r="S24" s="28" t="str">
        <x:v>https://terror.ringleib.com/wp-content/uploads/2021/03/Ryan-BookUSSTerror-1.pdf</x:v>
      </x:c>
      <x:c r="T24" s="28" t="str"/>
    </x:row>
    <x:row r="25">
      <x:c r="A25" s="19" t="n">
        <x:v>24</x:v>
      </x:c>
      <x:c r="B25" s="20" t="n">
        <x:v>16265</x:v>
      </x:c>
      <x:c r="C25" s="20" t="n">
        <x:v>16273</x:v>
      </x:c>
      <x:c r="D25" s="28" t="str">
        <x:v>range</x:v>
      </x:c>
      <x:c r="E25" s="28" t="str">
        <x:v>LOC006</x:v>
      </x:c>
      <x:c r="F25" s="28" t="str">
        <x:v>Pearl Harbor</x:v>
      </x:c>
      <x:c r="G25" s="29" t="n">
        <x:v>21.344</x:v>
      </x:c>
      <x:c r="H25" s="29" t="n">
        <x:v>-157.975</x:v>
      </x:c>
      <x:c r="I25" s="28" t="str">
        <x:v>interval_at_location</x:v>
      </x:c>
      <x:c r="J25" s="28" t="str">
        <x:v>Harbor centroid</x:v>
      </x:c>
      <x:c r="K25" s="28" t="n">
        <x:v>5</x:v>
      </x:c>
      <x:c r="L25" s="28" t="str">
        <x:v>in port</x:v>
      </x:c>
      <x:c r="M25" s="28" t="str">
        <x:v>Logistics</x:v>
      </x:c>
      <x:c r="N25" s="28" t="str">
        <x:v>Pearl Harbor turnaround before another Enewetak/Marianas circuit.</x:v>
      </x:c>
      <x:c r="O25" s="28" t="str">
        <x:v>medium-high</x:v>
      </x:c>
      <x:c r="P25" s="30" t="b">
        <x:v>1</x:v>
      </x:c>
      <x:c r="Q25" s="28" t="str">
        <x:v>S2</x:v>
      </x:c>
      <x:c r="R25" s="28" t="str">
        <x:v>War Cruise p.7</x:v>
      </x:c>
      <x:c r="S25" s="28" t="str">
        <x:v>https://terror.ringleib.com/wp-content/uploads/2021/03/Ryan-BookUSSTerror-1.pdf</x:v>
      </x:c>
      <x:c r="T25" s="28" t="str"/>
    </x:row>
    <x:row r="26">
      <x:c r="A26" s="19" t="n">
        <x:v>25</x:v>
      </x:c>
      <x:c r="B26" s="20" t="n">
        <x:v>16280</x:v>
      </x:c>
      <x:c r="C26" s="20" t="n">
        <x:v>16295</x:v>
      </x:c>
      <x:c r="D26" s="28" t="str">
        <x:v>range</x:v>
      </x:c>
      <x:c r="E26" s="28" t="str">
        <x:v>LOC014</x:v>
      </x:c>
      <x:c r="F26" s="28" t="str">
        <x:v>Enewetak</x:v>
      </x:c>
      <x:c r="G26" s="29" t="n">
        <x:v>11.35</x:v>
      </x:c>
      <x:c r="H26" s="29" t="n">
        <x:v>162.35</x:v>
      </x:c>
      <x:c r="I26" s="28" t="str">
        <x:v>interval_at_location</x:v>
      </x:c>
      <x:c r="J26" s="28" t="str">
        <x:v>Atoll/anchorage centroid</x:v>
      </x:c>
      <x:c r="K26" s="28" t="n">
        <x:v>15</x:v>
      </x:c>
      <x:c r="L26" s="28" t="str">
        <x:v>operating</x:v>
      </x:c>
      <x:c r="M26" s="28" t="str">
        <x:v>Logistics</x:v>
      </x:c>
      <x:c r="N26" s="28" t="str">
        <x:v>Enewetak-based segment supporting the Marshalls and Marianas.</x:v>
      </x:c>
      <x:c r="O26" s="28" t="str">
        <x:v>medium</x:v>
      </x:c>
      <x:c r="P26" s="30" t="b">
        <x:v>1</x:v>
      </x:c>
      <x:c r="Q26" s="28" t="str">
        <x:v>S2</x:v>
      </x:c>
      <x:c r="R26" s="28" t="str">
        <x:v>War Cruise p.7</x:v>
      </x:c>
      <x:c r="S26" s="28" t="str">
        <x:v>https://terror.ringleib.com/wp-content/uploads/2021/03/Ryan-BookUSSTerror-1.pdf</x:v>
      </x:c>
      <x:c r="T26" s="28" t="str">
        <x:v>War Cruise contains a likely erroneous pre-invasion 'Iwo Jima' entry for 1–4 Aug. The default map does not route Terror to Iwo Jima in 1944.</x:v>
      </x:c>
    </x:row>
    <x:row r="27">
      <x:c r="A27" s="19" t="n">
        <x:v>26</x:v>
      </x:c>
      <x:c r="B27" s="20" t="n">
        <x:v>16295</x:v>
      </x:c>
      <x:c r="C27" s="20" t="n">
        <x:v>16301</x:v>
      </x:c>
      <x:c r="D27" s="28" t="str">
        <x:v>range</x:v>
      </x:c>
      <x:c r="E27" s="28" t="str">
        <x:v>LOC016</x:v>
      </x:c>
      <x:c r="F27" s="28" t="str">
        <x:v>Guam</x:v>
      </x:c>
      <x:c r="G27" s="29" t="n">
        <x:v>13.45</x:v>
      </x:c>
      <x:c r="H27" s="29" t="n">
        <x:v>144.65</x:v>
      </x:c>
      <x:c r="I27" s="28" t="str">
        <x:v>interval_at_location</x:v>
      </x:c>
      <x:c r="J27" s="28" t="str">
        <x:v>Harbor centroid</x:v>
      </x:c>
      <x:c r="K27" s="28" t="n">
        <x:v>8</x:v>
      </x:c>
      <x:c r="L27" s="28" t="str">
        <x:v>operating/port</x:v>
      </x:c>
      <x:c r="M27" s="28" t="str">
        <x:v>Marianas logistics</x:v>
      </x:c>
      <x:c r="N27" s="28" t="str">
        <x:v>Guam-area cargo operations during the Marianas campaign.</x:v>
      </x:c>
      <x:c r="O27" s="28" t="str">
        <x:v>medium</x:v>
      </x:c>
      <x:c r="P27" s="30" t="b">
        <x:v>1</x:v>
      </x:c>
      <x:c r="Q27" s="28" t="str">
        <x:v>S2</x:v>
      </x:c>
      <x:c r="R27" s="28" t="str">
        <x:v>War Cruise p.7; Album p.4</x:v>
      </x:c>
      <x:c r="S27" s="28" t="str">
        <x:v>https://terror.ringleib.com/wp-content/uploads/2021/03/Ryan-BookUSSTerror-1.pdf</x:v>
      </x:c>
      <x:c r="T27" s="28" t="str">
        <x:v>Exact inbound/outbound sequence is conflicted in the cruise-chart transcription.</x:v>
      </x:c>
    </x:row>
    <x:row r="28">
      <x:c r="A28" s="19" t="n">
        <x:v>27</x:v>
      </x:c>
      <x:c r="B28" s="20" t="n">
        <x:v>16301</x:v>
      </x:c>
      <x:c r="C28" s="20" t="n">
        <x:v>16308</x:v>
      </x:c>
      <x:c r="D28" s="28" t="str">
        <x:v>range</x:v>
      </x:c>
      <x:c r="E28" s="28" t="str">
        <x:v>LOC006</x:v>
      </x:c>
      <x:c r="F28" s="28" t="str">
        <x:v>Pearl Harbor</x:v>
      </x:c>
      <x:c r="G28" s="29" t="n">
        <x:v>21.344</x:v>
      </x:c>
      <x:c r="H28" s="29" t="n">
        <x:v>-157.975</x:v>
      </x:c>
      <x:c r="I28" s="28" t="str">
        <x:v>interval_at_location</x:v>
      </x:c>
      <x:c r="J28" s="28" t="str">
        <x:v>Harbor centroid</x:v>
      </x:c>
      <x:c r="K28" s="28" t="n">
        <x:v>5</x:v>
      </x:c>
      <x:c r="L28" s="28" t="str">
        <x:v>depart/transit</x:v>
      </x:c>
      <x:c r="M28" s="28" t="str">
        <x:v>Transit</x:v>
      </x:c>
      <x:c r="N28" s="28" t="str">
        <x:v>Departed Oahu for the west coast; arrived San Francisco on 24 August.</x:v>
      </x:c>
      <x:c r="O28" s="28" t="str">
        <x:v>high</x:v>
      </x:c>
      <x:c r="P28" s="30" t="b">
        <x:v>1</x:v>
      </x:c>
      <x:c r="Q28" s="28" t="str">
        <x:v>S1</x:v>
      </x:c>
      <x:c r="R28" s="28" t="str">
        <x:v>DANFS, 17–24 Aug 1944</x:v>
      </x:c>
      <x:c r="S28" s="28" t="str">
        <x:v>https://www.history.navy.mil/research/histories/ship-histories/danfs/t/terror-iii.html</x:v>
      </x:c>
      <x:c r="T28" s="28" t="str"/>
    </x:row>
    <x:row r="29">
      <x:c r="A29" s="19" t="n">
        <x:v>28</x:v>
      </x:c>
      <x:c r="B29" s="20" t="n">
        <x:v>16308</x:v>
      </x:c>
      <x:c r="C29" s="20" t="n">
        <x:v>16324</x:v>
      </x:c>
      <x:c r="D29" s="28" t="str">
        <x:v>range</x:v>
      </x:c>
      <x:c r="E29" s="28" t="str">
        <x:v>LOC003</x:v>
      </x:c>
      <x:c r="F29" s="28" t="str">
        <x:v>San Francisco Bay</x:v>
      </x:c>
      <x:c r="G29" s="29" t="n">
        <x:v>37.8199</x:v>
      </x:c>
      <x:c r="H29" s="29" t="n">
        <x:v>-122.4783</x:v>
      </x:c>
      <x:c r="I29" s="28" t="str">
        <x:v>interval_at_location</x:v>
      </x:c>
      <x:c r="J29" s="28" t="str">
        <x:v>Golden Gate transit point</x:v>
      </x:c>
      <x:c r="K29" s="28" t="n">
        <x:v>10</x:v>
      </x:c>
      <x:c r="L29" s="28" t="str">
        <x:v>in port</x:v>
      </x:c>
      <x:c r="M29" s="28" t="str">
        <x:v>Dry dock/overhaul</x:v>
      </x:c>
      <x:c r="N29" s="28" t="str">
        <x:v>San Francisco drydocking and overhaul.</x:v>
      </x:c>
      <x:c r="O29" s="28" t="str">
        <x:v>high</x:v>
      </x:c>
      <x:c r="P29" s="30" t="b">
        <x:v>1</x:v>
      </x:c>
      <x:c r="Q29" s="28" t="str">
        <x:v>S1</x:v>
      </x:c>
      <x:c r="R29" s="28" t="str">
        <x:v>DANFS, 24 Aug–9 Sep 1944</x:v>
      </x:c>
      <x:c r="S29" s="28" t="str">
        <x:v>https://www.history.navy.mil/research/histories/ship-histories/danfs/t/terror-iii.html</x:v>
      </x:c>
      <x:c r="T29" s="28" t="str"/>
    </x:row>
    <x:row r="30">
      <x:c r="A30" s="19" t="n">
        <x:v>29</x:v>
      </x:c>
      <x:c r="B30" s="20" t="n">
        <x:v>16329</x:v>
      </x:c>
      <x:c r="C30" s="20" t="n">
        <x:v>16336</x:v>
      </x:c>
      <x:c r="D30" s="28" t="str">
        <x:v>range</x:v>
      </x:c>
      <x:c r="E30" s="28" t="str">
        <x:v>LOC006</x:v>
      </x:c>
      <x:c r="F30" s="28" t="str">
        <x:v>Pearl Harbor</x:v>
      </x:c>
      <x:c r="G30" s="29" t="n">
        <x:v>21.344</x:v>
      </x:c>
      <x:c r="H30" s="29" t="n">
        <x:v>-157.975</x:v>
      </x:c>
      <x:c r="I30" s="28" t="str">
        <x:v>interval_at_location</x:v>
      </x:c>
      <x:c r="J30" s="28" t="str">
        <x:v>Harbor centroid</x:v>
      </x:c>
      <x:c r="K30" s="28" t="n">
        <x:v>5</x:v>
      </x:c>
      <x:c r="L30" s="28" t="str">
        <x:v>in port</x:v>
      </x:c>
      <x:c r="M30" s="28" t="str">
        <x:v>Logistics</x:v>
      </x:c>
      <x:c r="N30" s="28" t="str">
        <x:v>Loaded mines and minesweeping gear before western Pacific deployment.</x:v>
      </x:c>
      <x:c r="O30" s="28" t="str">
        <x:v>high</x:v>
      </x:c>
      <x:c r="P30" s="30" t="b">
        <x:v>1</x:v>
      </x:c>
      <x:c r="Q30" s="28" t="str">
        <x:v>S2</x:v>
      </x:c>
      <x:c r="R30" s="28" t="str">
        <x:v>War Cruise p.7</x:v>
      </x:c>
      <x:c r="S30" s="28" t="str">
        <x:v>https://terror.ringleib.com/wp-content/uploads/2021/03/Ryan-BookUSSTerror-1.pdf</x:v>
      </x:c>
      <x:c r="T30" s="28" t="str"/>
    </x:row>
    <x:row r="31">
      <x:c r="A31" s="19" t="n">
        <x:v>30</x:v>
      </x:c>
      <x:c r="B31" s="20" t="n">
        <x:v>16345</x:v>
      </x:c>
      <x:c r="C31" s="20" t="n">
        <x:v>16348</x:v>
      </x:c>
      <x:c r="D31" s="28" t="str">
        <x:v>range</x:v>
      </x:c>
      <x:c r="E31" s="28" t="str">
        <x:v>LOC015</x:v>
      </x:c>
      <x:c r="F31" s="28" t="str">
        <x:v>Saipan</x:v>
      </x:c>
      <x:c r="G31" s="29" t="n">
        <x:v>15.2</x:v>
      </x:c>
      <x:c r="H31" s="29" t="n">
        <x:v>145.75</x:v>
      </x:c>
      <x:c r="I31" s="28" t="str">
        <x:v>interval_at_location</x:v>
      </x:c>
      <x:c r="J31" s="28" t="str">
        <x:v>Island/anchorage centroid</x:v>
      </x:c>
      <x:c r="K31" s="28" t="n">
        <x:v>12</x:v>
      </x:c>
      <x:c r="L31" s="28" t="str">
        <x:v>in port/operating</x:v>
      </x:c>
      <x:c r="M31" s="28" t="str">
        <x:v>Marianas logistics</x:v>
      </x:c>
      <x:c r="N31" s="28" t="str">
        <x:v>Saipan stop before Ulithi defensive mining operations.</x:v>
      </x:c>
      <x:c r="O31" s="28" t="str">
        <x:v>medium-high</x:v>
      </x:c>
      <x:c r="P31" s="30" t="b">
        <x:v>1</x:v>
      </x:c>
      <x:c r="Q31" s="28" t="str">
        <x:v>S2</x:v>
      </x:c>
      <x:c r="R31" s="28" t="str">
        <x:v>War Cruise p.7</x:v>
      </x:c>
      <x:c r="S31" s="28" t="str">
        <x:v>https://terror.ringleib.com/wp-content/uploads/2021/03/Ryan-BookUSSTerror-1.pdf</x:v>
      </x:c>
      <x:c r="T31" s="28" t="str"/>
    </x:row>
    <x:row r="32">
      <x:c r="A32" s="19" t="n">
        <x:v>31</x:v>
      </x:c>
      <x:c r="B32" s="20" t="n">
        <x:v>16353</x:v>
      </x:c>
      <x:c r="C32" s="20" t="n">
        <x:v>16362</x:v>
      </x:c>
      <x:c r="D32" s="28" t="str">
        <x:v>range</x:v>
      </x:c>
      <x:c r="E32" s="28" t="str">
        <x:v>LOC017</x:v>
      </x:c>
      <x:c r="F32" s="28" t="str">
        <x:v>Ulithi</x:v>
      </x:c>
      <x:c r="G32" s="29" t="n">
        <x:v>9.55</x:v>
      </x:c>
      <x:c r="H32" s="29" t="n">
        <x:v>138.12</x:v>
      </x:c>
      <x:c r="I32" s="28" t="str">
        <x:v>interval_at_location</x:v>
      </x:c>
      <x:c r="J32" s="28" t="str">
        <x:v>Atoll/anchorage centroid</x:v>
      </x:c>
      <x:c r="K32" s="28" t="n">
        <x:v>15</x:v>
      </x:c>
      <x:c r="L32" s="28" t="str">
        <x:v>anchored/operating</x:v>
      </x:c>
      <x:c r="M32" s="28" t="str">
        <x:v>Defensive mining</x:v>
      </x:c>
      <x:c r="N32" s="28" t="str">
        <x:v>Began defensive mining operations at Ulithi.</x:v>
      </x:c>
      <x:c r="O32" s="28" t="str">
        <x:v>high</x:v>
      </x:c>
      <x:c r="P32" s="30" t="b">
        <x:v>1</x:v>
      </x:c>
      <x:c r="Q32" s="28" t="str">
        <x:v>S1</x:v>
      </x:c>
      <x:c r="R32" s="28" t="str">
        <x:v>DANFS, Sep–Oct 1944</x:v>
      </x:c>
      <x:c r="S32" s="28" t="str">
        <x:v>https://www.history.navy.mil/research/histories/ship-histories/danfs/t/terror-iii.html</x:v>
      </x:c>
      <x:c r="T32" s="28" t="str"/>
    </x:row>
    <x:row r="33">
      <x:c r="A33" s="19" t="n">
        <x:v>32</x:v>
      </x:c>
      <x:c r="B33" s="20" t="n">
        <x:v>16364</x:v>
      </x:c>
      <x:c r="C33" s="20" t="n">
        <x:v>16378</x:v>
      </x:c>
      <x:c r="D33" s="28" t="str">
        <x:v>range</x:v>
      </x:c>
      <x:c r="E33" s="28" t="str">
        <x:v>LOC015</x:v>
      </x:c>
      <x:c r="F33" s="28" t="str">
        <x:v>Saipan</x:v>
      </x:c>
      <x:c r="G33" s="29" t="n">
        <x:v>15.2</x:v>
      </x:c>
      <x:c r="H33" s="29" t="n">
        <x:v>145.75</x:v>
      </x:c>
      <x:c r="I33" s="28" t="str">
        <x:v>interval_at_location</x:v>
      </x:c>
      <x:c r="J33" s="28" t="str">
        <x:v>Island/anchorage centroid</x:v>
      </x:c>
      <x:c r="K33" s="28" t="n">
        <x:v>12</x:v>
      </x:c>
      <x:c r="L33" s="28" t="str">
        <x:v>recurring stop</x:v>
      </x:c>
      <x:c r="M33" s="28" t="str">
        <x:v>Logistics</x:v>
      </x:c>
      <x:c r="N33" s="28" t="str">
        <x:v>Repeated Saipan–Ulithi cargo and support circuits.</x:v>
      </x:c>
      <x:c r="O33" s="28" t="str">
        <x:v>medium-high</x:v>
      </x:c>
      <x:c r="P33" s="30" t="b">
        <x:v>1</x:v>
      </x:c>
      <x:c r="Q33" s="28" t="str">
        <x:v>S2</x:v>
      </x:c>
      <x:c r="R33" s="28" t="str">
        <x:v>War Cruise p.7</x:v>
      </x:c>
      <x:c r="S33" s="28" t="str">
        <x:v>https://terror.ringleib.com/wp-content/uploads/2021/03/Ryan-BookUSSTerror-1.pdf</x:v>
      </x:c>
      <x:c r="T33" s="28" t="str"/>
    </x:row>
    <x:row r="34">
      <x:c r="A34" s="19" t="n">
        <x:v>33</x:v>
      </x:c>
      <x:c r="B34" s="20" t="n">
        <x:v>16387</x:v>
      </x:c>
      <x:c r="C34" s="20" t="n">
        <x:v>16392</x:v>
      </x:c>
      <x:c r="D34" s="28" t="str">
        <x:v>estimated range</x:v>
      </x:c>
      <x:c r="E34" s="28" t="str">
        <x:v>LOC018</x:v>
      </x:c>
      <x:c r="F34" s="28" t="str">
        <x:v>Manus</x:v>
      </x:c>
      <x:c r="G34" s="29" t="n">
        <x:v>-2.05</x:v>
      </x:c>
      <x:c r="H34" s="29" t="n">
        <x:v>147.33</x:v>
      </x:c>
      <x:c r="I34" s="28" t="str">
        <x:v>interval_at_location</x:v>
      </x:c>
      <x:c r="J34" s="28" t="str">
        <x:v>Harbor centroid</x:v>
      </x:c>
      <x:c r="K34" s="28" t="n">
        <x:v>10</x:v>
      </x:c>
      <x:c r="L34" s="28" t="str">
        <x:v>in port/operating</x:v>
      </x:c>
      <x:c r="M34" s="28" t="str">
        <x:v>Admiralties logistics</x:v>
      </x:c>
      <x:c r="N34" s="28" t="str">
        <x:v>Cargo operations in the Admiralty Islands/Manus area.</x:v>
      </x:c>
      <x:c r="O34" s="28" t="str">
        <x:v>medium</x:v>
      </x:c>
      <x:c r="P34" s="30" t="b">
        <x:v>1</x:v>
      </x:c>
      <x:c r="Q34" s="28" t="str">
        <x:v>S1</x:v>
      </x:c>
      <x:c r="R34" s="28" t="str">
        <x:v>DANFS, Oct–Nov 1944; War Cruise p.7</x:v>
      </x:c>
      <x:c r="S34" s="28" t="str">
        <x:v>https://www.history.navy.mil/research/histories/ship-histories/danfs/t/terror-iii.html</x:v>
      </x:c>
      <x:c r="T34" s="28" t="str">
        <x:v>The chart transcription contains an improbable pre-invasion Iwo Jima leg; Manus is retained as the confirmed destination.</x:v>
      </x:c>
    </x:row>
    <x:row r="35">
      <x:c r="A35" s="19" t="n">
        <x:v>34</x:v>
      </x:c>
      <x:c r="B35" s="20" t="n">
        <x:v>16400</x:v>
      </x:c>
      <x:c r="C35" s="20" t="n">
        <x:v>16459</x:v>
      </x:c>
      <x:c r="D35" s="28" t="str">
        <x:v>range</x:v>
      </x:c>
      <x:c r="E35" s="28" t="str">
        <x:v>LOC006</x:v>
      </x:c>
      <x:c r="F35" s="28" t="str">
        <x:v>Pearl Harbor</x:v>
      </x:c>
      <x:c r="G35" s="29" t="n">
        <x:v>21.344</x:v>
      </x:c>
      <x:c r="H35" s="29" t="n">
        <x:v>-157.975</x:v>
      </x:c>
      <x:c r="I35" s="28" t="str">
        <x:v>interval_at_location</x:v>
      </x:c>
      <x:c r="J35" s="28" t="str">
        <x:v>Harbor centroid</x:v>
      </x:c>
      <x:c r="K35" s="28" t="n">
        <x:v>5</x:v>
      </x:c>
      <x:c r="L35" s="28" t="str">
        <x:v>in port/shipyard</x:v>
      </x:c>
      <x:c r="M35" s="28" t="str">
        <x:v>Alteration/flagship preparation</x:v>
      </x:c>
      <x:c r="N35" s="28" t="str">
        <x:v>Pearl Harbor repairs and alterations to accommodate Commander, Mine Force, Pacific Fleet staff; assumed flagship duty 6 January 1945.</x:v>
      </x:c>
      <x:c r="O35" s="28" t="str">
        <x:v>high</x:v>
      </x:c>
      <x:c r="P35" s="30" t="b">
        <x:v>1</x:v>
      </x:c>
      <x:c r="Q35" s="28" t="str">
        <x:v>S1</x:v>
      </x:c>
      <x:c r="R35" s="28" t="str">
        <x:v>DANFS, 25 Nov 1944–22 Jan 1945</x:v>
      </x:c>
      <x:c r="S35" s="28" t="str">
        <x:v>https://www.history.navy.mil/research/histories/ship-histories/danfs/t/terror-iii.html</x:v>
      </x:c>
      <x:c r="T35" s="28" t="str"/>
    </x:row>
    <x:row r="36">
      <x:c r="A36" s="19" t="n">
        <x:v>35</x:v>
      </x:c>
      <x:c r="B36" s="20" t="n">
        <x:v>16467</x:v>
      </x:c>
      <x:c r="C36" s="20" t="n">
        <x:v>16467</x:v>
      </x:c>
      <x:c r="D36" s="28" t="str">
        <x:v>day</x:v>
      </x:c>
      <x:c r="E36" s="28" t="str">
        <x:v>LOC014</x:v>
      </x:c>
      <x:c r="F36" s="28" t="str">
        <x:v>Enewetak</x:v>
      </x:c>
      <x:c r="G36" s="29" t="n">
        <x:v>11.35</x:v>
      </x:c>
      <x:c r="H36" s="29" t="n">
        <x:v>162.35</x:v>
      </x:c>
      <x:c r="I36" s="28" t="str">
        <x:v>point</x:v>
      </x:c>
      <x:c r="J36" s="28" t="str">
        <x:v>Atoll/anchorage centroid</x:v>
      </x:c>
      <x:c r="K36" s="28" t="n">
        <x:v>15</x:v>
      </x:c>
      <x:c r="L36" s="28" t="str">
        <x:v>brief stop</x:v>
      </x:c>
      <x:c r="M36" s="28" t="str">
        <x:v>Transit/logistics</x:v>
      </x:c>
      <x:c r="N36" s="28" t="str">
        <x:v>Arrived Enewetak, fueled, and continued toward Ulithi.</x:v>
      </x:c>
      <x:c r="O36" s="28" t="str">
        <x:v>high</x:v>
      </x:c>
      <x:c r="P36" s="30" t="b">
        <x:v>1</x:v>
      </x:c>
      <x:c r="Q36" s="28" t="str">
        <x:v>S2</x:v>
      </x:c>
      <x:c r="R36" s="28" t="str">
        <x:v>War Cruise deck-log extract p.55</x:v>
      </x:c>
      <x:c r="S36" s="28" t="str">
        <x:v>https://terror.ringleib.com/wp-content/uploads/2021/03/Ryan-BookUSSTerror-1.pdf</x:v>
      </x:c>
      <x:c r="T36" s="28" t="str"/>
    </x:row>
    <x:row r="37">
      <x:c r="A37" s="19" t="n">
        <x:v>36</x:v>
      </x:c>
      <x:c r="B37" s="20" t="n">
        <x:v>16471</x:v>
      </x:c>
      <x:c r="C37" s="20" t="n">
        <x:v>16476</x:v>
      </x:c>
      <x:c r="D37" s="28" t="str">
        <x:v>range</x:v>
      </x:c>
      <x:c r="E37" s="28" t="str">
        <x:v>LOC017</x:v>
      </x:c>
      <x:c r="F37" s="28" t="str">
        <x:v>Ulithi</x:v>
      </x:c>
      <x:c r="G37" s="29" t="n">
        <x:v>9.55</x:v>
      </x:c>
      <x:c r="H37" s="29" t="n">
        <x:v>138.12</x:v>
      </x:c>
      <x:c r="I37" s="28" t="str">
        <x:v>interval_at_location</x:v>
      </x:c>
      <x:c r="J37" s="28" t="str">
        <x:v>Atoll/anchorage centroid</x:v>
      </x:c>
      <x:c r="K37" s="28" t="n">
        <x:v>15</x:v>
      </x:c>
      <x:c r="L37" s="28" t="str">
        <x:v>anchored/operating</x:v>
      </x:c>
      <x:c r="M37" s="28" t="str">
        <x:v>Iwo Jima staging</x:v>
      </x:c>
      <x:c r="N37" s="28" t="str">
        <x:v>Supplied mines and gear to mine craft preparing for Iwo Jima.</x:v>
      </x:c>
      <x:c r="O37" s="28" t="str">
        <x:v>high</x:v>
      </x:c>
      <x:c r="P37" s="30" t="b">
        <x:v>1</x:v>
      </x:c>
      <x:c r="Q37" s="28" t="str">
        <x:v>S1</x:v>
      </x:c>
      <x:c r="R37" s="28" t="str">
        <x:v>DANFS, late Jan–Feb 1945</x:v>
      </x:c>
      <x:c r="S37" s="28" t="str">
        <x:v>https://www.history.navy.mil/research/histories/ship-histories/danfs/t/terror-iii.html</x:v>
      </x:c>
      <x:c r="T37" s="28" t="str"/>
    </x:row>
    <x:row r="38">
      <x:c r="A38" s="19" t="n">
        <x:v>37</x:v>
      </x:c>
      <x:c r="B38" s="20" t="n">
        <x:v>16478</x:v>
      </x:c>
      <x:c r="C38" s="20" t="n">
        <x:v>16481</x:v>
      </x:c>
      <x:c r="D38" s="28" t="str">
        <x:v>range</x:v>
      </x:c>
      <x:c r="E38" s="28" t="str">
        <x:v>LOC019</x:v>
      </x:c>
      <x:c r="F38" s="28" t="str">
        <x:v>Tinian</x:v>
      </x:c>
      <x:c r="G38" s="29" t="n">
        <x:v>14.97</x:v>
      </x:c>
      <x:c r="H38" s="29" t="n">
        <x:v>145.62</x:v>
      </x:c>
      <x:c r="I38" s="28" t="str">
        <x:v>interval_at_location</x:v>
      </x:c>
      <x:c r="J38" s="28" t="str">
        <x:v>Island/anchorage centroid</x:v>
      </x:c>
      <x:c r="K38" s="28" t="n">
        <x:v>10</x:v>
      </x:c>
      <x:c r="L38" s="28" t="str">
        <x:v>anchored/operating</x:v>
      </x:c>
      <x:c r="M38" s="28" t="str">
        <x:v>Iwo Jima staging</x:v>
      </x:c>
      <x:c r="N38" s="28" t="str">
        <x:v>Served as tender for mine craft at Tinian, the second staging area.</x:v>
      </x:c>
      <x:c r="O38" s="28" t="str">
        <x:v>high</x:v>
      </x:c>
      <x:c r="P38" s="30" t="b">
        <x:v>1</x:v>
      </x:c>
      <x:c r="Q38" s="28" t="str">
        <x:v>S1</x:v>
      </x:c>
      <x:c r="R38" s="28" t="str">
        <x:v>DANFS, Feb 1945</x:v>
      </x:c>
      <x:c r="S38" s="28" t="str">
        <x:v>https://www.history.navy.mil/research/histories/ship-histories/danfs/t/terror-iii.html</x:v>
      </x:c>
      <x:c r="T38" s="28" t="str"/>
    </x:row>
    <x:row r="39">
      <x:c r="A39" s="19" t="n">
        <x:v>38</x:v>
      </x:c>
      <x:c r="B39" s="20" t="n">
        <x:v>16485</x:v>
      </x:c>
      <x:c r="C39" s="20" t="n">
        <x:v>16487</x:v>
      </x:c>
      <x:c r="D39" s="28" t="str">
        <x:v>range</x:v>
      </x:c>
      <x:c r="E39" s="28" t="str">
        <x:v>LOC020</x:v>
      </x:c>
      <x:c r="F39" s="28" t="str">
        <x:v>Iwo Jima</x:v>
      </x:c>
      <x:c r="G39" s="29" t="n">
        <x:v>24.78</x:v>
      </x:c>
      <x:c r="H39" s="29" t="n">
        <x:v>141.34</x:v>
      </x:c>
      <x:c r="I39" s="28" t="str">
        <x:v>interval_at_location</x:v>
      </x:c>
      <x:c r="J39" s="28" t="str">
        <x:v>Estimated offshore fire-support point</x:v>
      </x:c>
      <x:c r="K39" s="28" t="n">
        <x:v>8</x:v>
      </x:c>
      <x:c r="L39" s="28" t="str">
        <x:v>offshore combat</x:v>
      </x:c>
      <x:c r="M39" s="28" t="str">
        <x:v>Iwo Jima operation</x:v>
      </x:c>
      <x:c r="N39" s="28" t="str">
        <x:v>Directed and supported minesweeping; fired 5-inch guns at shore positions; received casualties and damaged small craft.</x:v>
      </x:c>
      <x:c r="O39" s="28" t="str">
        <x:v>high</x:v>
      </x:c>
      <x:c r="P39" s="30" t="b">
        <x:v>1</x:v>
      </x:c>
      <x:c r="Q39" s="28" t="str">
        <x:v>S1</x:v>
      </x:c>
      <x:c r="R39" s="28" t="str">
        <x:v>DANFS, 17–19 Feb 1945</x:v>
      </x:c>
      <x:c r="S39" s="28" t="str">
        <x:v>https://www.history.navy.mil/research/histories/ship-histories/danfs/t/terror-iii.html</x:v>
      </x:c>
      <x:c r="T39" s="28" t="str"/>
    </x:row>
    <x:row r="40">
      <x:c r="A40" s="19" t="n">
        <x:v>39</x:v>
      </x:c>
      <x:c r="B40" s="20" t="n">
        <x:v>16489</x:v>
      </x:c>
      <x:c r="C40" s="20" t="n">
        <x:v>16489</x:v>
      </x:c>
      <x:c r="D40" s="28" t="str">
        <x:v>day</x:v>
      </x:c>
      <x:c r="E40" s="28" t="str">
        <x:v>LOC015</x:v>
      </x:c>
      <x:c r="F40" s="28" t="str">
        <x:v>Saipan</x:v>
      </x:c>
      <x:c r="G40" s="29" t="n">
        <x:v>15.2</x:v>
      </x:c>
      <x:c r="H40" s="29" t="n">
        <x:v>145.75</x:v>
      </x:c>
      <x:c r="I40" s="28" t="str">
        <x:v>point</x:v>
      </x:c>
      <x:c r="J40" s="28" t="str">
        <x:v>Island/anchorage centroid</x:v>
      </x:c>
      <x:c r="K40" s="28" t="n">
        <x:v>12</x:v>
      </x:c>
      <x:c r="L40" s="28" t="str">
        <x:v>brief stop</x:v>
      </x:c>
      <x:c r="M40" s="28" t="str">
        <x:v>Casualty evacuation</x:v>
      </x:c>
      <x:c r="N40" s="28" t="str">
        <x:v>Transferred battle casualties to an Army hospital at Saipan.</x:v>
      </x:c>
      <x:c r="O40" s="28" t="str">
        <x:v>high</x:v>
      </x:c>
      <x:c r="P40" s="30" t="b">
        <x:v>1</x:v>
      </x:c>
      <x:c r="Q40" s="28" t="str">
        <x:v>S1</x:v>
      </x:c>
      <x:c r="R40" s="28" t="str">
        <x:v>DANFS, 21 Feb 1945</x:v>
      </x:c>
      <x:c r="S40" s="28" t="str">
        <x:v>https://www.history.navy.mil/research/histories/ship-histories/danfs/t/terror-iii.html</x:v>
      </x:c>
      <x:c r="T40" s="28" t="str"/>
    </x:row>
    <x:row r="41">
      <x:c r="A41" s="19" t="n">
        <x:v>40</x:v>
      </x:c>
      <x:c r="B41" s="20" t="n">
        <x:v>16491</x:v>
      </x:c>
      <x:c r="C41" s="20" t="n">
        <x:v>16515</x:v>
      </x:c>
      <x:c r="D41" s="28" t="str">
        <x:v>range</x:v>
      </x:c>
      <x:c r="E41" s="28" t="str">
        <x:v>LOC017</x:v>
      </x:c>
      <x:c r="F41" s="28" t="str">
        <x:v>Ulithi</x:v>
      </x:c>
      <x:c r="G41" s="29" t="n">
        <x:v>9.55</x:v>
      </x:c>
      <x:c r="H41" s="29" t="n">
        <x:v>138.12</x:v>
      </x:c>
      <x:c r="I41" s="28" t="str">
        <x:v>interval_at_location</x:v>
      </x:c>
      <x:c r="J41" s="28" t="str">
        <x:v>Atoll/anchorage centroid</x:v>
      </x:c>
      <x:c r="K41" s="28" t="n">
        <x:v>15</x:v>
      </x:c>
      <x:c r="L41" s="28" t="str">
        <x:v>anchored/operating</x:v>
      </x:c>
      <x:c r="M41" s="28" t="str">
        <x:v>Okinawa staging</x:v>
      </x:c>
      <x:c r="N41" s="28" t="str">
        <x:v>Serviced and supplied mine craft staging for the assault on Okinawa.</x:v>
      </x:c>
      <x:c r="O41" s="28" t="str">
        <x:v>high</x:v>
      </x:c>
      <x:c r="P41" s="30" t="b">
        <x:v>1</x:v>
      </x:c>
      <x:c r="Q41" s="28" t="str">
        <x:v>S1</x:v>
      </x:c>
      <x:c r="R41" s="28" t="str">
        <x:v>DANFS, 23 Feb–19 Mar 1945</x:v>
      </x:c>
      <x:c r="S41" s="28" t="str">
        <x:v>https://www.history.navy.mil/research/histories/ship-histories/danfs/t/terror-iii.html</x:v>
      </x:c>
      <x:c r="T41" s="28" t="str"/>
    </x:row>
    <x:row r="42">
      <x:c r="A42" s="19" t="n">
        <x:v>41</x:v>
      </x:c>
      <x:c r="B42" s="20" t="n">
        <x:v>16520</x:v>
      </x:c>
      <x:c r="C42" s="20" t="n">
        <x:v>16525</x:v>
      </x:c>
      <x:c r="D42" s="28" t="str">
        <x:v>range</x:v>
      </x:c>
      <x:c r="E42" s="28" t="str">
        <x:v>LOC021</x:v>
      </x:c>
      <x:c r="F42" s="28" t="str">
        <x:v>Kerama Retto</x:v>
      </x:c>
      <x:c r="G42" s="29" t="n">
        <x:v>26.1667</x:v>
      </x:c>
      <x:c r="H42" s="29" t="n">
        <x:v>127.3</x:v>
      </x:c>
      <x:c r="I42" s="28" t="str">
        <x:v>interval_at_location</x:v>
      </x:c>
      <x:c r="J42" s="28" t="str">
        <x:v>Anchorage/attack-area modeling point</x:v>
      </x:c>
      <x:c r="K42" s="28" t="n">
        <x:v>5</x:v>
      </x:c>
      <x:c r="L42" s="28" t="str">
        <x:v>offshore/anchoring</x:v>
      </x:c>
      <x:c r="M42" s="28" t="str">
        <x:v>Okinawa operation</x:v>
      </x:c>
      <x:c r="N42" s="28" t="str">
        <x:v>Arrived off Kerama Retto on 24 March; anchored in the harbor on 29 March as flagship and tender.</x:v>
      </x:c>
      <x:c r="O42" s="28" t="str">
        <x:v>high</x:v>
      </x:c>
      <x:c r="P42" s="30" t="b">
        <x:v>1</x:v>
      </x:c>
      <x:c r="Q42" s="28" t="str">
        <x:v>S1</x:v>
      </x:c>
      <x:c r="R42" s="28" t="str">
        <x:v>DANFS, 24–29 Mar 1945</x:v>
      </x:c>
      <x:c r="S42" s="28" t="str">
        <x:v>https://www.history.navy.mil/research/histories/ship-histories/danfs/t/terror-iii.html</x:v>
      </x:c>
      <x:c r="T42" s="28" t="str"/>
    </x:row>
    <x:row r="43">
      <x:c r="A43" s="19" t="n">
        <x:v>42</x:v>
      </x:c>
      <x:c r="B43" s="20" t="n">
        <x:v>16529</x:v>
      </x:c>
      <x:c r="C43" s="20" t="n">
        <x:v>16529</x:v>
      </x:c>
      <x:c r="D43" s="28" t="str">
        <x:v>day</x:v>
      </x:c>
      <x:c r="E43" s="28" t="str">
        <x:v>LOC021</x:v>
      </x:c>
      <x:c r="F43" s="28" t="str">
        <x:v>Kerama Retto</x:v>
      </x:c>
      <x:c r="G43" s="29" t="n">
        <x:v>26.1667</x:v>
      </x:c>
      <x:c r="H43" s="29" t="n">
        <x:v>127.3</x:v>
      </x:c>
      <x:c r="I43" s="28" t="str">
        <x:v>point</x:v>
      </x:c>
      <x:c r="J43" s="28" t="str">
        <x:v>Anchorage/attack-area modeling point</x:v>
      </x:c>
      <x:c r="K43" s="28" t="n">
        <x:v>5</x:v>
      </x:c>
      <x:c r="L43" s="28" t="str">
        <x:v>anchored/combat</x:v>
      </x:c>
      <x:c r="M43" s="28" t="str">
        <x:v>Air attack</x:v>
      </x:c>
      <x:c r="N43" s="28" t="str">
        <x:v>Took two Japanese aircraft under fire during a harbor penetration; one aircraft splashed nearby.</x:v>
      </x:c>
      <x:c r="O43" s="28" t="str">
        <x:v>high</x:v>
      </x:c>
      <x:c r="P43" s="30" t="b">
        <x:v>1</x:v>
      </x:c>
      <x:c r="Q43" s="28" t="str">
        <x:v>S1</x:v>
      </x:c>
      <x:c r="R43" s="28" t="str">
        <x:v>DANFS, 2 Apr 1945</x:v>
      </x:c>
      <x:c r="S43" s="28" t="str">
        <x:v>https://www.history.navy.mil/research/histories/ship-histories/danfs/t/terror-iii.html</x:v>
      </x:c>
      <x:c r="T43" s="28" t="str"/>
    </x:row>
    <x:row r="44">
      <x:c r="A44" s="19" t="n">
        <x:v>43</x:v>
      </x:c>
      <x:c r="B44" s="20" t="n">
        <x:v>16533</x:v>
      </x:c>
      <x:c r="C44" s="20" t="n">
        <x:v>16533</x:v>
      </x:c>
      <x:c r="D44" s="28" t="str">
        <x:v>day</x:v>
      </x:c>
      <x:c r="E44" s="28" t="str">
        <x:v>LOC021</x:v>
      </x:c>
      <x:c r="F44" s="28" t="str">
        <x:v>Kerama Retto</x:v>
      </x:c>
      <x:c r="G44" s="29" t="n">
        <x:v>26.1667</x:v>
      </x:c>
      <x:c r="H44" s="29" t="n">
        <x:v>127.3</x:v>
      </x:c>
      <x:c r="I44" s="28" t="str">
        <x:v>point</x:v>
      </x:c>
      <x:c r="J44" s="28" t="str">
        <x:v>Anchorage/attack-area modeling point</x:v>
      </x:c>
      <x:c r="K44" s="28" t="n">
        <x:v>5</x:v>
      </x:c>
      <x:c r="L44" s="28" t="str">
        <x:v>anchored/combat</x:v>
      </x:c>
      <x:c r="M44" s="28" t="str">
        <x:v>Mass air attack/rescue</x:v>
      </x:c>
      <x:c r="N44" s="28" t="str">
        <x:v>Fought a four-hour mass air attack; helped down two aircraft and aided survivors of LST-447 and SS Logan Victory.</x:v>
      </x:c>
      <x:c r="O44" s="28" t="str">
        <x:v>high</x:v>
      </x:c>
      <x:c r="P44" s="30" t="b">
        <x:v>1</x:v>
      </x:c>
      <x:c r="Q44" s="28" t="str">
        <x:v>S1</x:v>
      </x:c>
      <x:c r="R44" s="28" t="str">
        <x:v>DANFS, 6 Apr 1945</x:v>
      </x:c>
      <x:c r="S44" s="28" t="str">
        <x:v>https://www.history.navy.mil/research/histories/ship-histories/danfs/t/terror-iii.html</x:v>
      </x:c>
      <x:c r="T44" s="28" t="str"/>
    </x:row>
    <x:row r="45">
      <x:c r="A45" s="19" t="n">
        <x:v>44</x:v>
      </x:c>
      <x:c r="B45" s="20" t="n">
        <x:v>16555</x:v>
      </x:c>
      <x:c r="C45" s="20" t="n">
        <x:v>16555</x:v>
      </x:c>
      <x:c r="D45" s="28" t="str">
        <x:v>day</x:v>
      </x:c>
      <x:c r="E45" s="28" t="str">
        <x:v>LOC021</x:v>
      </x:c>
      <x:c r="F45" s="28" t="str">
        <x:v>Kerama Retto</x:v>
      </x:c>
      <x:c r="G45" s="29" t="n">
        <x:v>26.1667</x:v>
      </x:c>
      <x:c r="H45" s="29" t="n">
        <x:v>127.3</x:v>
      </x:c>
      <x:c r="I45" s="28" t="str">
        <x:v>point</x:v>
      </x:c>
      <x:c r="J45" s="28" t="str">
        <x:v>Anchorage/attack-area modeling point</x:v>
      </x:c>
      <x:c r="K45" s="28" t="n">
        <x:v>5</x:v>
      </x:c>
      <x:c r="L45" s="28" t="str">
        <x:v>anchored/combat</x:v>
      </x:c>
      <x:c r="M45" s="28" t="str">
        <x:v>Rescue/medical</x:v>
      </x:c>
      <x:c r="N45" s="28" t="str">
        <x:v>Fired on aircraft attacking nearby Pinckney, sent boats, and treated casualties.</x:v>
      </x:c>
      <x:c r="O45" s="28" t="str">
        <x:v>high</x:v>
      </x:c>
      <x:c r="P45" s="30" t="b">
        <x:v>1</x:v>
      </x:c>
      <x:c r="Q45" s="28" t="str">
        <x:v>S1</x:v>
      </x:c>
      <x:c r="R45" s="28" t="str">
        <x:v>DANFS, 28 Apr 1945</x:v>
      </x:c>
      <x:c r="S45" s="28" t="str">
        <x:v>https://www.history.navy.mil/research/histories/ship-histories/danfs/t/terror-iii.html</x:v>
      </x:c>
      <x:c r="T45" s="28" t="str"/>
    </x:row>
    <x:row r="46">
      <x:c r="A46" s="19" t="n">
        <x:v>45</x:v>
      </x:c>
      <x:c r="B46" s="20" t="n">
        <x:v>16558</x:v>
      </x:c>
      <x:c r="C46" s="20" t="n">
        <x:v>16558</x:v>
      </x:c>
      <x:c r="D46" s="28" t="str">
        <x:v>day</x:v>
      </x:c>
      <x:c r="E46" s="28" t="str">
        <x:v>LOC021</x:v>
      </x:c>
      <x:c r="F46" s="28" t="str">
        <x:v>Kerama Retto</x:v>
      </x:c>
      <x:c r="G46" s="29" t="n">
        <x:v>26.1667</x:v>
      </x:c>
      <x:c r="H46" s="29" t="n">
        <x:v>127.3</x:v>
      </x:c>
      <x:c r="I46" s="28" t="str">
        <x:v>point</x:v>
      </x:c>
      <x:c r="J46" s="28" t="str">
        <x:v>Kerama Retto anchorage / published attack-area approximation</x:v>
      </x:c>
      <x:c r="K46" s="28" t="n">
        <x:v>3</x:v>
      </x:c>
      <x:c r="L46" s="28" t="str">
        <x:v>anchored/combat</x:v>
      </x:c>
      <x:c r="M46" s="28" t="str">
        <x:v>Kamikaze strike</x:v>
      </x:c>
      <x:c r="N46" s="28" t="str">
        <x:v>Kamikaze and bombs struck the ship shortly before 0400; 41 dead, 7 missing, and 123 wounded.</x:v>
      </x:c>
      <x:c r="O46" s="28" t="str">
        <x:v>high</x:v>
      </x:c>
      <x:c r="P46" s="30" t="b">
        <x:v>1</x:v>
      </x:c>
      <x:c r="Q46" s="28" t="str">
        <x:v>S1</x:v>
      </x:c>
      <x:c r="R46" s="28" t="str">
        <x:v>DANFS, 1 May 1945</x:v>
      </x:c>
      <x:c r="S46" s="28" t="str">
        <x:v>https://www.history.navy.mil/research/histories/ship-histories/danfs/t/terror-iii.html</x:v>
      </x:c>
      <x:c r="T46" s="28" t="str"/>
    </x:row>
    <x:row r="47">
      <x:c r="A47" s="19" t="n">
        <x:v>46</x:v>
      </x:c>
      <x:c r="B47" s="20" t="n">
        <x:v>16559</x:v>
      </x:c>
      <x:c r="C47" s="20" t="n">
        <x:v>16565</x:v>
      </x:c>
      <x:c r="D47" s="28" t="str">
        <x:v>range</x:v>
      </x:c>
      <x:c r="E47" s="28" t="str">
        <x:v>LOC021</x:v>
      </x:c>
      <x:c r="F47" s="28" t="str">
        <x:v>Kerama Retto</x:v>
      </x:c>
      <x:c r="G47" s="29" t="n">
        <x:v>26.1667</x:v>
      </x:c>
      <x:c r="H47" s="29" t="n">
        <x:v>127.3</x:v>
      </x:c>
      <x:c r="I47" s="28" t="str">
        <x:v>interval_at_location</x:v>
      </x:c>
      <x:c r="J47" s="28" t="str">
        <x:v>Anchorage/attack-area modeling point</x:v>
      </x:c>
      <x:c r="K47" s="28" t="n">
        <x:v>5</x:v>
      </x:c>
      <x:c r="L47" s="28" t="str">
        <x:v>moored/repair</x:v>
      </x:c>
      <x:c r="M47" s="28" t="str">
        <x:v>Emergency repair</x:v>
      </x:c>
      <x:c r="N47" s="28" t="str">
        <x:v>Moored to Natrona for emergency repairs; flag staff transferred before withdrawal.</x:v>
      </x:c>
      <x:c r="O47" s="28" t="str">
        <x:v>high</x:v>
      </x:c>
      <x:c r="P47" s="30" t="b">
        <x:v>1</x:v>
      </x:c>
      <x:c r="Q47" s="28" t="str">
        <x:v>S1</x:v>
      </x:c>
      <x:c r="R47" s="28" t="str">
        <x:v>DANFS, 2–8 May 1945</x:v>
      </x:c>
      <x:c r="S47" s="28" t="str">
        <x:v>https://www.history.navy.mil/research/histories/ship-histories/danfs/t/terror-iii.html</x:v>
      </x:c>
      <x:c r="T47" s="28" t="str"/>
    </x:row>
    <x:row r="48">
      <x:c r="A48" s="19" t="n">
        <x:v>47</x:v>
      </x:c>
      <x:c r="B48" s="20" t="n">
        <x:v>16569</x:v>
      </x:c>
      <x:c r="C48" s="20" t="n">
        <x:v>16572</x:v>
      </x:c>
      <x:c r="D48" s="28" t="str">
        <x:v>range</x:v>
      </x:c>
      <x:c r="E48" s="28" t="str">
        <x:v>LOC015</x:v>
      </x:c>
      <x:c r="F48" s="28" t="str">
        <x:v>Saipan</x:v>
      </x:c>
      <x:c r="G48" s="29" t="n">
        <x:v>15.2</x:v>
      </x:c>
      <x:c r="H48" s="29" t="n">
        <x:v>145.75</x:v>
      </x:c>
      <x:c r="I48" s="28" t="str">
        <x:v>interval_at_location</x:v>
      </x:c>
      <x:c r="J48" s="28" t="str">
        <x:v>Island/anchorage centroid</x:v>
      </x:c>
      <x:c r="K48" s="28" t="n">
        <x:v>12</x:v>
      </x:c>
      <x:c r="L48" s="28" t="str">
        <x:v>repair-route stop</x:v>
      </x:c>
      <x:c r="M48" s="28" t="str">
        <x:v>Damage assessment</x:v>
      </x:c>
      <x:c r="N48" s="28" t="str">
        <x:v>Reached Saipan after withdrawal from Kerama Retto; forward-area repair judged inadequate.</x:v>
      </x:c>
      <x:c r="O48" s="28" t="str">
        <x:v>medium-high</x:v>
      </x:c>
      <x:c r="P48" s="30" t="b">
        <x:v>1</x:v>
      </x:c>
      <x:c r="Q48" s="28" t="str">
        <x:v>S2</x:v>
      </x:c>
      <x:c r="R48" s="28" t="str">
        <x:v>War Cruise p.7; DANFS narrative</x:v>
      </x:c>
      <x:c r="S48" s="28" t="str">
        <x:v>https://terror.ringleib.com/wp-content/uploads/2021/03/Ryan-BookUSSTerror-1.pdf</x:v>
      </x:c>
      <x:c r="T48" s="28" t="str"/>
    </x:row>
    <x:row r="49">
      <x:c r="A49" s="19" t="n">
        <x:v>48</x:v>
      </x:c>
      <x:c r="B49" s="20" t="n">
        <x:v>16575</x:v>
      </x:c>
      <x:c r="C49" s="20" t="n">
        <x:v>16576</x:v>
      </x:c>
      <x:c r="D49" s="28" t="str">
        <x:v>estimated range</x:v>
      </x:c>
      <x:c r="E49" s="28" t="str">
        <x:v>LOC014</x:v>
      </x:c>
      <x:c r="F49" s="28" t="str">
        <x:v>Enewetak</x:v>
      </x:c>
      <x:c r="G49" s="29" t="n">
        <x:v>11.35</x:v>
      </x:c>
      <x:c r="H49" s="29" t="n">
        <x:v>162.35</x:v>
      </x:c>
      <x:c r="I49" s="28" t="str">
        <x:v>interval_at_location</x:v>
      </x:c>
      <x:c r="J49" s="28" t="str">
        <x:v>Atoll/anchorage centroid</x:v>
      </x:c>
      <x:c r="K49" s="28" t="n">
        <x:v>15</x:v>
      </x:c>
      <x:c r="L49" s="28" t="str">
        <x:v>brief transit stop</x:v>
      </x:c>
      <x:c r="M49" s="28" t="str">
        <x:v>Withdrawal route</x:v>
      </x:c>
      <x:c r="N49" s="28" t="str">
        <x:v>Estimated Enewetak stop on the documented Saipan–Enewetak–Pearl Harbor withdrawal route.</x:v>
      </x:c>
      <x:c r="O49" s="28" t="str">
        <x:v>medium</x:v>
      </x:c>
      <x:c r="P49" s="30" t="b">
        <x:v>1</x:v>
      </x:c>
      <x:c r="Q49" s="28" t="str">
        <x:v>S1</x:v>
      </x:c>
      <x:c r="R49" s="28" t="str">
        <x:v>DANFS, May 1945</x:v>
      </x:c>
      <x:c r="S49" s="28" t="str">
        <x:v>https://www.history.navy.mil/research/histories/ship-histories/danfs/t/terror-iii.html</x:v>
      </x:c>
      <x:c r="T49" s="28" t="str">
        <x:v>Intermediate dates are estimated; DANFS confirms the route but not the dates.</x:v>
      </x:c>
    </x:row>
    <x:row r="50">
      <x:c r="A50" s="19" t="n">
        <x:v>49</x:v>
      </x:c>
      <x:c r="B50" s="20" t="n">
        <x:v>16580</x:v>
      </x:c>
      <x:c r="C50" s="20" t="n">
        <x:v>16583</x:v>
      </x:c>
      <x:c r="D50" s="28" t="str">
        <x:v>range</x:v>
      </x:c>
      <x:c r="E50" s="28" t="str">
        <x:v>LOC006</x:v>
      </x:c>
      <x:c r="F50" s="28" t="str">
        <x:v>Pearl Harbor</x:v>
      </x:c>
      <x:c r="G50" s="29" t="n">
        <x:v>21.344</x:v>
      </x:c>
      <x:c r="H50" s="29" t="n">
        <x:v>-157.975</x:v>
      </x:c>
      <x:c r="I50" s="28" t="str">
        <x:v>interval_at_location</x:v>
      </x:c>
      <x:c r="J50" s="28" t="str">
        <x:v>Harbor centroid</x:v>
      </x:c>
      <x:c r="K50" s="28" t="n">
        <x:v>5</x:v>
      </x:c>
      <x:c r="L50" s="28" t="str">
        <x:v>repair-route stop</x:v>
      </x:c>
      <x:c r="M50" s="28" t="str">
        <x:v>Transit/repair</x:v>
      </x:c>
      <x:c r="N50" s="28" t="str">
        <x:v>Arrived Pearl Harbor with visible kamikaze damage; departed for San Francisco after brief support.</x:v>
      </x:c>
      <x:c r="O50" s="28" t="str">
        <x:v>medium-high</x:v>
      </x:c>
      <x:c r="P50" s="30" t="b">
        <x:v>1</x:v>
      </x:c>
      <x:c r="Q50" s="28" t="str">
        <x:v>S4</x:v>
      </x:c>
      <x:c r="R50" s="28" t="str">
        <x:v>NavSource photo caption, 23/26 May 1945</x:v>
      </x:c>
      <x:c r="S50" s="28" t="str">
        <x:v>https://www.navsource.net/archives/11/0605.htm</x:v>
      </x:c>
      <x:c r="T50" s="28" t="str">
        <x:v>Capt. Blakeslee chart gives a later Pearl Harbor interval; NavSource photographic dating is used for mapping.</x:v>
      </x:c>
    </x:row>
    <x:row r="51">
      <x:c r="A51" s="19" t="n">
        <x:v>50</x:v>
      </x:c>
      <x:c r="B51" s="20" t="n">
        <x:v>16589</x:v>
      </x:c>
      <x:c r="C51" s="20" t="n">
        <x:v>16602</x:v>
      </x:c>
      <x:c r="D51" s="28" t="str">
        <x:v>range</x:v>
      </x:c>
      <x:c r="E51" s="28" t="str">
        <x:v>LOC003</x:v>
      </x:c>
      <x:c r="F51" s="28" t="str">
        <x:v>San Francisco Bay</x:v>
      </x:c>
      <x:c r="G51" s="29" t="n">
        <x:v>37.8199</x:v>
      </x:c>
      <x:c r="H51" s="29" t="n">
        <x:v>-122.4783</x:v>
      </x:c>
      <x:c r="I51" s="28" t="str">
        <x:v>interval_at_location</x:v>
      </x:c>
      <x:c r="J51" s="28" t="str">
        <x:v>Golden Gate transit point</x:v>
      </x:c>
      <x:c r="K51" s="28" t="n">
        <x:v>10</x:v>
      </x:c>
      <x:c r="L51" s="28" t="str">
        <x:v>arrive/in port</x:v>
      </x:c>
      <x:c r="M51" s="28" t="str">
        <x:v>Return for overhaul</x:v>
      </x:c>
      <x:c r="N51" s="28" t="str">
        <x:v>Reached San Francisco, unloaded ammunition, and prepared for shipyard overhaul.</x:v>
      </x:c>
      <x:c r="O51" s="28" t="str">
        <x:v>high</x:v>
      </x:c>
      <x:c r="P51" s="30" t="b">
        <x:v>1</x:v>
      </x:c>
      <x:c r="Q51" s="28" t="str">
        <x:v>S1</x:v>
      </x:c>
      <x:c r="R51" s="28" t="str">
        <x:v>DANFS, 1 Jun 1945</x:v>
      </x:c>
      <x:c r="S51" s="28" t="str">
        <x:v>https://www.history.navy.mil/research/histories/ship-histories/danfs/t/terror-iii.html</x:v>
      </x:c>
      <x:c r="T51" s="28" t="str"/>
    </x:row>
    <x:row r="52">
      <x:c r="A52" s="19" t="n">
        <x:v>51</x:v>
      </x:c>
      <x:c r="B52" s="20" t="n">
        <x:v>16602</x:v>
      </x:c>
      <x:c r="C52" s="20" t="n">
        <x:v>16663</x:v>
      </x:c>
      <x:c r="D52" s="28" t="str">
        <x:v>range</x:v>
      </x:c>
      <x:c r="E52" s="28" t="str">
        <x:v>LOC004</x:v>
      </x:c>
      <x:c r="F52" s="28" t="str">
        <x:v>Mare Island Navy Yard</x:v>
      </x:c>
      <x:c r="G52" s="29" t="n">
        <x:v>38.1</x:v>
      </x:c>
      <x:c r="H52" s="29" t="n">
        <x:v>-122.273</x:v>
      </x:c>
      <x:c r="I52" s="28" t="str">
        <x:v>interval_at_location</x:v>
      </x:c>
      <x:c r="J52" s="28" t="str">
        <x:v>Shipyard centroid</x:v>
      </x:c>
      <x:c r="K52" s="28" t="n">
        <x:v>3</x:v>
      </x:c>
      <x:c r="L52" s="28" t="str">
        <x:v>shipyard</x:v>
      </x:c>
      <x:c r="M52" s="28" t="str">
        <x:v>Battle-damage repair/refit</x:v>
      </x:c>
      <x:c r="N52" s="28" t="str">
        <x:v>Mare Island overhaul repaired kamikaze damage and strengthened antiaircraft armament.</x:v>
      </x:c>
      <x:c r="O52" s="28" t="str">
        <x:v>high</x:v>
      </x:c>
      <x:c r="P52" s="30" t="b">
        <x:v>1</x:v>
      </x:c>
      <x:c r="Q52" s="28" t="str">
        <x:v>S4</x:v>
      </x:c>
      <x:c r="R52" s="28" t="str">
        <x:v>NavSource captions, 14 Jun–14 Aug 1945</x:v>
      </x:c>
      <x:c r="S52" s="28" t="str">
        <x:v>https://www.navsource.net/archives/11/0605.htm</x:v>
      </x:c>
      <x:c r="T52" s="28" t="str"/>
    </x:row>
    <x:row r="53">
      <x:c r="A53" s="19" t="n">
        <x:v>52</x:v>
      </x:c>
      <x:c r="B53" s="20" t="n">
        <x:v>16664</x:v>
      </x:c>
      <x:c r="C53" s="20" t="n">
        <x:v>16664</x:v>
      </x:c>
      <x:c r="D53" s="28" t="str">
        <x:v>day</x:v>
      </x:c>
      <x:c r="E53" s="28" t="str">
        <x:v>LOC003</x:v>
      </x:c>
      <x:c r="F53" s="28" t="str">
        <x:v>San Francisco Bay</x:v>
      </x:c>
      <x:c r="G53" s="29" t="n">
        <x:v>37.8199</x:v>
      </x:c>
      <x:c r="H53" s="29" t="n">
        <x:v>-122.4783</x:v>
      </x:c>
      <x:c r="I53" s="28" t="str">
        <x:v>point</x:v>
      </x:c>
      <x:c r="J53" s="28" t="str">
        <x:v>Golden Gate transit point</x:v>
      </x:c>
      <x:c r="K53" s="28" t="n">
        <x:v>10</x:v>
      </x:c>
      <x:c r="L53" s="28" t="str">
        <x:v>depart</x:v>
      </x:c>
      <x:c r="M53" s="28" t="str">
        <x:v>Return to western Pacific</x:v>
      </x:c>
      <x:c r="N53" s="28" t="str">
        <x:v>Departed San Francisco Bay on the day Japan announced surrender, bound west via Hawaii and Saipan.</x:v>
      </x:c>
      <x:c r="O53" s="28" t="str">
        <x:v>high</x:v>
      </x:c>
      <x:c r="P53" s="30" t="b">
        <x:v>1</x:v>
      </x:c>
      <x:c r="Q53" s="28" t="str">
        <x:v>S1</x:v>
      </x:c>
      <x:c r="R53" s="28" t="str">
        <x:v>DANFS, 15 Aug 1945</x:v>
      </x:c>
      <x:c r="S53" s="28" t="str">
        <x:v>https://www.history.navy.mil/research/histories/ship-histories/danfs/t/terror-iii.html</x:v>
      </x:c>
      <x:c r="T53" s="28" t="str"/>
    </x:row>
    <x:row r="54">
      <x:c r="A54" s="19" t="n">
        <x:v>53</x:v>
      </x:c>
      <x:c r="B54" s="20" t="n">
        <x:v>16688</x:v>
      </x:c>
      <x:c r="C54" s="20" t="n">
        <x:v>16689</x:v>
      </x:c>
      <x:c r="D54" s="28" t="str">
        <x:v>range</x:v>
      </x:c>
      <x:c r="E54" s="28" t="str">
        <x:v>LOC022</x:v>
      </x:c>
      <x:c r="F54" s="28" t="str">
        <x:v>Buckner Bay</x:v>
      </x:c>
      <x:c r="G54" s="29" t="n">
        <x:v>26.22</x:v>
      </x:c>
      <x:c r="H54" s="29" t="n">
        <x:v>127.88</x:v>
      </x:c>
      <x:c r="I54" s="28" t="str">
        <x:v>interval_at_location</x:v>
      </x:c>
      <x:c r="J54" s="28" t="str">
        <x:v>Bay centroid</x:v>
      </x:c>
      <x:c r="K54" s="28" t="n">
        <x:v>10</x:v>
      </x:c>
      <x:c r="L54" s="28" t="str">
        <x:v>arrive/flagship</x:v>
      </x:c>
      <x:c r="M54" s="28" t="str">
        <x:v>Occupation mine warfare</x:v>
      </x:c>
      <x:c r="N54" s="28" t="str">
        <x:v>Reached Buckner Bay; Rear Admiral Arthur D. Struble established his headquarters aboard on 9 September.</x:v>
      </x:c>
      <x:c r="O54" s="28" t="str">
        <x:v>medium-high</x:v>
      </x:c>
      <x:c r="P54" s="30" t="b">
        <x:v>1</x:v>
      </x:c>
      <x:c r="Q54" s="28" t="str">
        <x:v>S3</x:v>
      </x:c>
      <x:c r="R54" s="28" t="str">
        <x:v>Album p.6</x:v>
      </x:c>
      <x:c r="S54" s="28" t="str">
        <x:v>https://terror.ringleib.com/wp-content/uploads/2021/03/USSTerror-AnAlbum-Ryan.pdf</x:v>
      </x:c>
      <x:c r="T54" s="28" t="str">
        <x:v>DANFS states the ship was moored in Buckner Bay on 16 Sep; the Album gives arrival on 8 Sep.</x:v>
      </x:c>
    </x:row>
    <x:row r="55">
      <x:c r="A55" s="19" t="n">
        <x:v>54</x:v>
      </x:c>
      <x:c r="B55" s="20" t="n">
        <x:v>16696</x:v>
      </x:c>
      <x:c r="C55" s="20" t="n">
        <x:v>16696</x:v>
      </x:c>
      <x:c r="D55" s="28" t="str">
        <x:v>day</x:v>
      </x:c>
      <x:c r="E55" s="28" t="str">
        <x:v>LOC022</x:v>
      </x:c>
      <x:c r="F55" s="28" t="str">
        <x:v>Buckner Bay</x:v>
      </x:c>
      <x:c r="G55" s="29" t="n">
        <x:v>26.22</x:v>
      </x:c>
      <x:c r="H55" s="29" t="n">
        <x:v>127.88</x:v>
      </x:c>
      <x:c r="I55" s="28" t="str">
        <x:v>point</x:v>
      </x:c>
      <x:c r="J55" s="28" t="str">
        <x:v>Bay centroid</x:v>
      </x:c>
      <x:c r="K55" s="28" t="n">
        <x:v>10</x:v>
      </x:c>
      <x:c r="L55" s="28" t="str">
        <x:v>anchored/weather</x:v>
      </x:c>
      <x:c r="M55" s="28" t="str">
        <x:v>Typhoon/collision</x:v>
      </x:c>
      <x:c r="N55" s="28" t="str">
        <x:v>Rode out a severe typhoon; Patoka collided with Terror, causing moderate hull damage.</x:v>
      </x:c>
      <x:c r="O55" s="28" t="str">
        <x:v>high</x:v>
      </x:c>
      <x:c r="P55" s="30" t="b">
        <x:v>1</x:v>
      </x:c>
      <x:c r="Q55" s="28" t="str">
        <x:v>S1</x:v>
      </x:c>
      <x:c r="R55" s="28" t="str">
        <x:v>DANFS, 16 Sep 1945</x:v>
      </x:c>
      <x:c r="S55" s="28" t="str">
        <x:v>https://www.history.navy.mil/research/histories/ship-histories/danfs/t/terror-iii.html</x:v>
      </x:c>
      <x:c r="T55" s="28" t="str"/>
    </x:row>
    <x:row r="56">
      <x:c r="A56" s="19" t="n">
        <x:v>55</x:v>
      </x:c>
      <x:c r="B56" s="20" t="n">
        <x:v>16719</x:v>
      </x:c>
      <x:c r="C56" s="20" t="n">
        <x:v>16720</x:v>
      </x:c>
      <x:c r="D56" s="28" t="str">
        <x:v>range</x:v>
      </x:c>
      <x:c r="E56" s="28" t="str">
        <x:v>LOC022</x:v>
      </x:c>
      <x:c r="F56" s="28" t="str">
        <x:v>Buckner Bay</x:v>
      </x:c>
      <x:c r="G56" s="29" t="n">
        <x:v>26.22</x:v>
      </x:c>
      <x:c r="H56" s="29" t="n">
        <x:v>127.88</x:v>
      </x:c>
      <x:c r="I56" s="28" t="str">
        <x:v>interval_at_location</x:v>
      </x:c>
      <x:c r="J56" s="28" t="str">
        <x:v>Bay centroid</x:v>
      </x:c>
      <x:c r="K56" s="28" t="n">
        <x:v>10</x:v>
      </x:c>
      <x:c r="L56" s="28" t="str">
        <x:v>anchored/weather</x:v>
      </x:c>
      <x:c r="M56" s="28" t="str">
        <x:v>Typhoon/rescue</x:v>
      </x:c>
      <x:c r="N56" s="28" t="str">
        <x:v>Survived a second severe typhoon and cared for hundreds of survivors from damaged, beached, or sunk mine-force vessels.</x:v>
      </x:c>
      <x:c r="O56" s="28" t="str">
        <x:v>high</x:v>
      </x:c>
      <x:c r="P56" s="30" t="b">
        <x:v>1</x:v>
      </x:c>
      <x:c r="Q56" s="28" t="str">
        <x:v>S3</x:v>
      </x:c>
      <x:c r="R56" s="28" t="str">
        <x:v>Album p.6 and late-1945 chronology p.31</x:v>
      </x:c>
      <x:c r="S56" s="28" t="str">
        <x:v>https://terror.ringleib.com/wp-content/uploads/2021/03/USSTerror-AnAlbum-Ryan.pdf</x:v>
      </x:c>
      <x:c r="T56" s="28" t="str"/>
    </x:row>
    <x:row r="57">
      <x:c r="A57" s="19" t="n">
        <x:v>56</x:v>
      </x:c>
      <x:c r="B57" s="20" t="n">
        <x:v>16732</x:v>
      </x:c>
      <x:c r="C57" s="20" t="n">
        <x:v>16761</x:v>
      </x:c>
      <x:c r="D57" s="28" t="str">
        <x:v>range</x:v>
      </x:c>
      <x:c r="E57" s="28" t="str">
        <x:v>LOC023</x:v>
      </x:c>
      <x:c r="F57" s="28" t="str">
        <x:v>Sasebo</x:v>
      </x:c>
      <x:c r="G57" s="29" t="n">
        <x:v>33.16</x:v>
      </x:c>
      <x:c r="H57" s="29" t="n">
        <x:v>129.72</x:v>
      </x:c>
      <x:c r="I57" s="28" t="str">
        <x:v>interval_at_location</x:v>
      </x:c>
      <x:c r="J57" s="28" t="str">
        <x:v>Harbor centroid</x:v>
      </x:c>
      <x:c r="K57" s="28" t="n">
        <x:v>5</x:v>
      </x:c>
      <x:c r="L57" s="28" t="str">
        <x:v>anchored/operating</x:v>
      </x:c>
      <x:c r="M57" s="28" t="str">
        <x:v>Occupation mine warfare</x:v>
      </x:c>
      <x:c r="N57" s="28" t="str">
        <x:v>Served at Sasebo as Mine Force flagship/tender, supplying water, fuel, gear, and medical support to minesweepers.</x:v>
      </x:c>
      <x:c r="O57" s="28" t="str">
        <x:v>high</x:v>
      </x:c>
      <x:c r="P57" s="30" t="b">
        <x:v>1</x:v>
      </x:c>
      <x:c r="Q57" s="28" t="str">
        <x:v>S5</x:v>
      </x:c>
      <x:c r="R57" s="28" t="str">
        <x:v>War Cruise late-1945 chronology p.31</x:v>
      </x:c>
      <x:c r="S57" s="28" t="str">
        <x:v>https://terror.ringleib.com/wp-content/uploads/2021/03/Ryan-BookUSSTerror-1.pdf</x:v>
      </x:c>
      <x:c r="T57" s="28" t="str"/>
    </x:row>
    <x:row r="58">
      <x:c r="A58" s="19" t="n">
        <x:v>57</x:v>
      </x:c>
      <x:c r="B58" s="20" t="n">
        <x:v>16758</x:v>
      </x:c>
      <x:c r="C58" s="20" t="n">
        <x:v>16761</x:v>
      </x:c>
      <x:c r="D58" s="28" t="str">
        <x:v>range</x:v>
      </x:c>
      <x:c r="E58" s="28" t="str">
        <x:v>LOC023</x:v>
      </x:c>
      <x:c r="F58" s="28" t="str">
        <x:v>Sasebo</x:v>
      </x:c>
      <x:c r="G58" s="29" t="n">
        <x:v>33.16</x:v>
      </x:c>
      <x:c r="H58" s="29" t="n">
        <x:v>129.72</x:v>
      </x:c>
      <x:c r="I58" s="28" t="str">
        <x:v>interval_at_location</x:v>
      </x:c>
      <x:c r="J58" s="28" t="str">
        <x:v>Harbor centroid</x:v>
      </x:c>
      <x:c r="K58" s="28" t="n">
        <x:v>5</x:v>
      </x:c>
      <x:c r="L58" s="28" t="str">
        <x:v>flag transfer/departure</x:v>
      </x:c>
      <x:c r="M58" s="28" t="str">
        <x:v>Command transition</x:v>
      </x:c>
      <x:c r="N58" s="28" t="str">
        <x:v>Panamint came alongside for transfer of staff and equipment; Terror departed Sasebo for Pearl Harbor on 20 November.</x:v>
      </x:c>
      <x:c r="O58" s="28" t="str">
        <x:v>high</x:v>
      </x:c>
      <x:c r="P58" s="30" t="b">
        <x:v>1</x:v>
      </x:c>
      <x:c r="Q58" s="28" t="str">
        <x:v>S5</x:v>
      </x:c>
      <x:c r="R58" s="28" t="str">
        <x:v>War Cruise late-1945 chronology p.31</x:v>
      </x:c>
      <x:c r="S58" s="28" t="str">
        <x:v>https://terror.ringleib.com/wp-content/uploads/2021/03/Ryan-BookUSSTerror-1.pdf</x:v>
      </x:c>
      <x:c r="T58" s="28" t="str"/>
    </x:row>
    <x:row r="59">
      <x:c r="A59" s="19" t="n">
        <x:v>58</x:v>
      </x:c>
      <x:c r="B59" s="20" t="n">
        <x:v>16778</x:v>
      </x:c>
      <x:c r="C59" s="20" t="n">
        <x:v>16854</x:v>
      </x:c>
      <x:c r="D59" s="28" t="str">
        <x:v>range</x:v>
      </x:c>
      <x:c r="E59" s="28" t="str">
        <x:v>LOC006</x:v>
      </x:c>
      <x:c r="F59" s="28" t="str">
        <x:v>Pearl Harbor</x:v>
      </x:c>
      <x:c r="G59" s="29" t="n">
        <x:v>21.344</x:v>
      </x:c>
      <x:c r="H59" s="29" t="n">
        <x:v>-157.975</x:v>
      </x:c>
      <x:c r="I59" s="28" t="str">
        <x:v>interval_at_location</x:v>
      </x:c>
      <x:c r="J59" s="28" t="str">
        <x:v>Harbor centroid</x:v>
      </x:c>
      <x:c r="K59" s="28" t="n">
        <x:v>5</x:v>
      </x:c>
      <x:c r="L59" s="28" t="str">
        <x:v>dry dock/repair</x:v>
      </x:c>
      <x:c r="M59" s="28" t="str">
        <x:v>Typhoon-damage repair</x:v>
      </x:c>
      <x:c r="N59" s="28" t="str">
        <x:v>Entered Pearl Harbor Navy Yard drydock and underwent repairs through February 1946.</x:v>
      </x:c>
      <x:c r="O59" s="28" t="str">
        <x:v>high</x:v>
      </x:c>
      <x:c r="P59" s="30" t="b">
        <x:v>1</x:v>
      </x:c>
      <x:c r="Q59" s="28" t="str">
        <x:v>S5</x:v>
      </x:c>
      <x:c r="R59" s="28" t="str">
        <x:v>War Cruise late-1945 chronology p.31; Album p.6</x:v>
      </x:c>
      <x:c r="S59" s="28" t="str">
        <x:v>https://terror.ringleib.com/wp-content/uploads/2021/03/Ryan-BookUSSTerror-1.pdf</x:v>
      </x:c>
      <x:c r="T59" s="28" t="str"/>
    </x:row>
    <x:row r="60">
      <x:c r="A60" s="19" t="n">
        <x:v>59</x:v>
      </x:c>
      <x:c r="B60" s="20" t="n">
        <x:v>16860</x:v>
      </x:c>
      <x:c r="C60" s="20" t="n">
        <x:v>16867</x:v>
      </x:c>
      <x:c r="D60" s="28" t="str">
        <x:v>estimated range</x:v>
      </x:c>
      <x:c r="E60" s="28" t="str">
        <x:v>LOC005</x:v>
      </x:c>
      <x:c r="F60" s="28" t="str">
        <x:v>Treasure Island</x:v>
      </x:c>
      <x:c r="G60" s="29" t="n">
        <x:v>37.823</x:v>
      </x:c>
      <x:c r="H60" s="29" t="n">
        <x:v>-122.37</x:v>
      </x:c>
      <x:c r="I60" s="28" t="str">
        <x:v>interval_at_location</x:v>
      </x:c>
      <x:c r="J60" s="28" t="str">
        <x:v>Base centroid</x:v>
      </x:c>
      <x:c r="K60" s="28" t="n">
        <x:v>3</x:v>
      </x:c>
      <x:c r="L60" s="28" t="str">
        <x:v>in port</x:v>
      </x:c>
      <x:c r="M60" s="28" t="str">
        <x:v>Postwar transport/base</x:v>
      </x:c>
      <x:c r="N60" s="28" t="str">
        <x:v>Arrived in San Francisco Bay/Treasure Island after departing Pearl Harbor on 21 February.</x:v>
      </x:c>
      <x:c r="O60" s="28" t="str">
        <x:v>medium</x:v>
      </x:c>
      <x:c r="P60" s="30" t="b">
        <x:v>1</x:v>
      </x:c>
      <x:c r="Q60" s="28" t="str">
        <x:v>S3</x:v>
      </x:c>
      <x:c r="R60" s="28" t="str">
        <x:v>Album p.6</x:v>
      </x:c>
      <x:c r="S60" s="28" t="str">
        <x:v>https://terror.ringleib.com/wp-content/uploads/2021/03/USSTerror-AnAlbum-Ryan.pdf</x:v>
      </x:c>
      <x:c r="T60" s="28" t="str">
        <x:v>Exact February arrival date is not stated; 27 Feb is a modeling estimate.</x:v>
      </x:c>
    </x:row>
    <x:row r="61">
      <x:c r="A61" s="19" t="n">
        <x:v>60</x:v>
      </x:c>
      <x:c r="B61" s="20" t="n">
        <x:v>16873</x:v>
      </x:c>
      <x:c r="C61" s="20" t="n">
        <x:v>16886</x:v>
      </x:c>
      <x:c r="D61" s="28" t="str">
        <x:v>range</x:v>
      </x:c>
      <x:c r="E61" s="28" t="str">
        <x:v>LOC006</x:v>
      </x:c>
      <x:c r="F61" s="28" t="str">
        <x:v>Pearl Harbor</x:v>
      </x:c>
      <x:c r="G61" s="29" t="n">
        <x:v>21.344</x:v>
      </x:c>
      <x:c r="H61" s="29" t="n">
        <x:v>-157.975</x:v>
      </x:c>
      <x:c r="I61" s="28" t="str">
        <x:v>interval_at_location</x:v>
      </x:c>
      <x:c r="J61" s="28" t="str">
        <x:v>Harbor centroid</x:v>
      </x:c>
      <x:c r="K61" s="28" t="n">
        <x:v>5</x:v>
      </x:c>
      <x:c r="L61" s="28" t="str">
        <x:v>in port/flagship</x:v>
      </x:c>
      <x:c r="M61" s="28" t="str">
        <x:v>Command transition</x:v>
      </x:c>
      <x:c r="N61" s="28" t="str">
        <x:v>Returned to Pearl Harbor; Commander Mine Force, Pacific Fleet flag shifted aboard before return to San Francisco.</x:v>
      </x:c>
      <x:c r="O61" s="28" t="str">
        <x:v>medium-high</x:v>
      </x:c>
      <x:c r="P61" s="30" t="b">
        <x:v>1</x:v>
      </x:c>
      <x:c r="Q61" s="28" t="str">
        <x:v>S5</x:v>
      </x:c>
      <x:c r="R61" s="28" t="str">
        <x:v>War Cruise chronology p.41</x:v>
      </x:c>
      <x:c r="S61" s="28" t="str">
        <x:v>https://terror.ringleib.com/wp-content/uploads/2021/03/Ryan-BookUSSTerror-1.pdf</x:v>
      </x:c>
      <x:c r="T61" s="28" t="str">
        <x:v>Compiled volume contains minor date discrepancies; detailed chronology gives 6–12 Mar outbound and 25 Mar departure.</x:v>
      </x:c>
    </x:row>
    <x:row r="62">
      <x:c r="A62" s="19" t="n">
        <x:v>61</x:v>
      </x:c>
      <x:c r="B62" s="20" t="n">
        <x:v>16893</x:v>
      </x:c>
      <x:c r="C62" s="20" t="n">
        <x:v>17161</x:v>
      </x:c>
      <x:c r="D62" s="28" t="str">
        <x:v>range</x:v>
      </x:c>
      <x:c r="E62" s="28" t="str">
        <x:v>LOC005</x:v>
      </x:c>
      <x:c r="F62" s="28" t="str">
        <x:v>Treasure Island</x:v>
      </x:c>
      <x:c r="G62" s="29" t="n">
        <x:v>37.823</x:v>
      </x:c>
      <x:c r="H62" s="29" t="n">
        <x:v>-122.37</x:v>
      </x:c>
      <x:c r="I62" s="28" t="str">
        <x:v>interval_at_location</x:v>
      </x:c>
      <x:c r="J62" s="28" t="str">
        <x:v>Base centroid</x:v>
      </x:c>
      <x:c r="K62" s="28" t="n">
        <x:v>3</x:v>
      </x:c>
      <x:c r="L62" s="28" t="str">
        <x:v>base/flagship</x:v>
      </x:c>
      <x:c r="M62" s="28" t="str">
        <x:v>Postwar service</x:v>
      </x:c>
      <x:c r="N62" s="28" t="str">
        <x:v>Operated from Treasure Island as Mine Force Pacific flagship until the force was dissolved on 25 December 1946.</x:v>
      </x:c>
      <x:c r="O62" s="28" t="str">
        <x:v>medium-high</x:v>
      </x:c>
      <x:c r="P62" s="30" t="b">
        <x:v>1</x:v>
      </x:c>
      <x:c r="Q62" s="28" t="str">
        <x:v>S5</x:v>
      </x:c>
      <x:c r="R62" s="28" t="str">
        <x:v>War Cruise chronology p.41; Album p.6</x:v>
      </x:c>
      <x:c r="S62" s="28" t="str">
        <x:v>https://terror.ringleib.com/wp-content/uploads/2021/03/Ryan-BookUSSTerror-1.pdf</x:v>
      </x:c>
      <x:c r="T62" s="28" t="str"/>
    </x:row>
  </x:sheetData>
  <x:conditionalFormatting sqref="O2:O62">
    <x:cfRule type="expression" dxfId="0" priority="1">
      <x:formula>OR(LEFT(O2,3)="low",LEFT(O2,6)="medium")</x:formula>
    </x:cfRule>
  </x:conditionalFormatting>
  <x:conditionalFormatting sqref="P2:P62">
    <x:cfRule type="expression" dxfId="1" priority="2">
      <x:formula>P2=FALSE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1d559004fc49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2" hidden="0" customWidth="1"/>
    <x:col min="4" max="4" width="12" hidden="0" customWidth="1"/>
    <x:col min="5" max="5" width="12" hidden="0" customWidth="1"/>
    <x:col min="6" max="6" width="21" hidden="0" customWidth="1"/>
    <x:col min="7" max="7" width="12" hidden="0" customWidth="1"/>
    <x:col min="8" max="8" width="12" hidden="0" customWidth="1"/>
    <x:col min="9" max="9" width="12" hidden="0" customWidth="1"/>
    <x:col min="10" max="10" width="21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22" hidden="0" customWidth="1"/>
    <x:col min="17" max="17" width="16" hidden="0" customWidth="1"/>
    <x:col min="18" max="18" width="16" hidden="0" customWidth="1"/>
    <x:col min="19" max="19" width="16" hidden="0" customWidth="1"/>
    <x:col min="20" max="20" width="10" hidden="0" customWidth="1"/>
    <x:col min="21" max="21" width="28" hidden="0" customWidth="1"/>
    <x:col min="22" max="22" width="42" hidden="0" customWidth="1"/>
    <x:col min="23" max="23" width="40" hidden="0" customWidth="1"/>
  </x:cols>
  <x:sheetData>
    <x:row r="1">
      <x:c r="A1" s="18" t="str">
        <x:v>Leg ID</x:v>
      </x:c>
      <x:c r="B1" s="18" t="str">
        <x:v>Sequence</x:v>
      </x:c>
      <x:c r="C1" s="18" t="str">
        <x:v>Start Date</x:v>
      </x:c>
      <x:c r="D1" s="18" t="str">
        <x:v>End Date</x:v>
      </x:c>
      <x:c r="E1" s="18" t="str">
        <x:v>Start Location ID</x:v>
      </x:c>
      <x:c r="F1" s="18" t="str">
        <x:v>Start Location</x:v>
      </x:c>
      <x:c r="G1" s="18" t="str">
        <x:v>Start Lat</x:v>
      </x:c>
      <x:c r="H1" s="18" t="str">
        <x:v>Start Lon</x:v>
      </x:c>
      <x:c r="I1" s="18" t="str">
        <x:v>End Location ID</x:v>
      </x:c>
      <x:c r="J1" s="18" t="str">
        <x:v>End Location</x:v>
      </x:c>
      <x:c r="K1" s="18" t="str">
        <x:v>End Lat</x:v>
      </x:c>
      <x:c r="L1" s="18" t="str">
        <x:v>End Lon</x:v>
      </x:c>
      <x:c r="M1" s="18" t="str">
        <x:v>Duration Days</x:v>
      </x:c>
      <x:c r="N1" s="18" t="str">
        <x:v>Great-circle Distance (nm)</x:v>
      </x:c>
      <x:c r="O1" s="18" t="str">
        <x:v>Implied Avg Speed (kn)</x:v>
      </x:c>
      <x:c r="P1" s="18" t="str">
        <x:v>Source Status</x:v>
      </x:c>
      <x:c r="Q1" s="18" t="str">
        <x:v>Date Confidence</x:v>
      </x:c>
      <x:c r="R1" s="18" t="str">
        <x:v>Route Confidence</x:v>
      </x:c>
      <x:c r="S1" s="18" t="str">
        <x:v>Include Default Map</x:v>
      </x:c>
      <x:c r="T1" s="18" t="str">
        <x:v>Source ID</x:v>
      </x:c>
      <x:c r="U1" s="18" t="str">
        <x:v>Source Locator</x:v>
      </x:c>
      <x:c r="V1" s="18" t="str">
        <x:v>Source URL</x:v>
      </x:c>
      <x:c r="W1" s="18" t="str">
        <x:v>Notes</x:v>
      </x:c>
    </x:row>
    <x:row r="2">
      <x:c r="A2" s="19" t="str">
        <x:v>L001</x:v>
      </x:c>
      <x:c r="B2" s="19" t="n">
        <x:v>1</x:v>
      </x:c>
      <x:c r="C2" s="20" t="n">
        <x:v>15981</x:v>
      </x:c>
      <x:c r="D2" s="20" t="n">
        <x:v>15987</x:v>
      </x:c>
      <x:c r="E2" s="19" t="str">
        <x:v>LOC001</x:v>
      </x:c>
      <x:c r="F2" s="19" t="str">
        <x:v>Norfolk / Hampton Roads</x:v>
      </x:c>
      <x:c r="G2" s="21" t="n">
        <x:v>36.946</x:v>
      </x:c>
      <x:c r="H2" s="21" t="n">
        <x:v>-76.33</x:v>
      </x:c>
      <x:c r="I2" s="21" t="str">
        <x:v>LOC002</x:v>
      </x:c>
      <x:c r="J2" s="21" t="str">
        <x:v>Panama Canal</x:v>
      </x:c>
      <x:c r="K2" s="21" t="n">
        <x:v>8.95</x:v>
      </x:c>
      <x:c r="L2" s="21" t="n">
        <x:v>-79.5667</x:v>
      </x:c>
      <x:c r="M2" s="38" t="n">
        <x:f>D2-C2</x:f>
        <x:v>6</x:v>
      </x:c>
      <x:c r="N2" s="39" t="n">
        <x:f>2*3440.065*ASIN(SQRT(SIN(RADIANS((K2-G2)/2))^2+COS(RADIANS(G2))*COS(RADIANS(K2))*SIN(RADIANS((L2-H2)/2))^2))</x:f>
        <x:v>1690.0987997127208</x:v>
      </x:c>
      <x:c r="O2" s="39" t="n">
        <x:f>IF(M2&gt;0,N2/(M2*24),"")</x:f>
        <x:v>11.736797220227228</x:v>
      </x:c>
      <x:c r="P2" s="28" t="str">
        <x:v>chart + official</x:v>
      </x:c>
      <x:c r="Q2" s="28" t="str">
        <x:v>high</x:v>
      </x:c>
      <x:c r="R2" s="28" t="str">
        <x:v>high</x:v>
      </x:c>
      <x:c r="S2" s="30" t="b">
        <x:v>1</x:v>
      </x:c>
      <x:c r="T2" s="28" t="str">
        <x:v>S2</x:v>
      </x:c>
      <x:c r="U2" s="28" t="str">
        <x:v>War Cruise p.7</x:v>
      </x:c>
      <x:c r="V2" s="28" t="str">
        <x:v>https://terror.ringleib.com/wp-content/uploads/2021/03/Ryan-BookUSSTerror-1.pdf</x:v>
      </x:c>
      <x:c r="W2" s="28" t="str"/>
    </x:row>
    <x:row r="3">
      <x:c r="A3" s="19" t="str">
        <x:v>L002</x:v>
      </x:c>
      <x:c r="B3" s="19" t="n">
        <x:v>2</x:v>
      </x:c>
      <x:c r="C3" s="20" t="n">
        <x:v>15989</x:v>
      </x:c>
      <x:c r="D3" s="20" t="n">
        <x:v>15998</x:v>
      </x:c>
      <x:c r="E3" s="19" t="str">
        <x:v>LOC002</x:v>
      </x:c>
      <x:c r="F3" s="19" t="str">
        <x:v>Panama Canal</x:v>
      </x:c>
      <x:c r="G3" s="21" t="n">
        <x:v>8.95</x:v>
      </x:c>
      <x:c r="H3" s="21" t="n">
        <x:v>-79.5667</x:v>
      </x:c>
      <x:c r="I3" s="21" t="str">
        <x:v>LOC003</x:v>
      </x:c>
      <x:c r="J3" s="21" t="str">
        <x:v>San Francisco Bay</x:v>
      </x:c>
      <x:c r="K3" s="21" t="n">
        <x:v>37.8199</x:v>
      </x:c>
      <x:c r="L3" s="21" t="n">
        <x:v>-122.4783</x:v>
      </x:c>
      <x:c r="M3" s="38" t="n">
        <x:f>D3-C3</x:f>
        <x:v>9</x:v>
      </x:c>
      <x:c r="N3" s="39" t="n">
        <x:f>2*3440.065*ASIN(SQRT(SIN(RADIANS((K3-G3)/2))^2+COS(RADIANS(G3))*COS(RADIANS(K3))*SIN(RADIANS((L3-H3)/2))^2))</x:f>
        <x:v>2892.2191591261667</x:v>
      </x:c>
      <x:c r="O3" s="39" t="n">
        <x:f>IF(M3&gt;0,N3/(M3*24),"")</x:f>
        <x:v>13.389903514472994</x:v>
      </x:c>
      <x:c r="P3" s="28" t="str">
        <x:v>chart + official</x:v>
      </x:c>
      <x:c r="Q3" s="28" t="str">
        <x:v>high</x:v>
      </x:c>
      <x:c r="R3" s="28" t="str">
        <x:v>high</x:v>
      </x:c>
      <x:c r="S3" s="30" t="b">
        <x:v>1</x:v>
      </x:c>
      <x:c r="T3" s="28" t="str">
        <x:v>S2</x:v>
      </x:c>
      <x:c r="U3" s="28" t="str">
        <x:v>War Cruise p.7</x:v>
      </x:c>
      <x:c r="V3" s="28" t="str">
        <x:v>https://terror.ringleib.com/wp-content/uploads/2021/03/Ryan-BookUSSTerror-1.pdf</x:v>
      </x:c>
      <x:c r="W3" s="28" t="str"/>
    </x:row>
    <x:row r="4">
      <x:c r="A4" s="19" t="str">
        <x:v>L003</x:v>
      </x:c>
      <x:c r="B4" s="19" t="n">
        <x:v>3</x:v>
      </x:c>
      <x:c r="C4" s="20" t="n">
        <x:v>15998</x:v>
      </x:c>
      <x:c r="D4" s="20" t="n">
        <x:v>16004</x:v>
      </x:c>
      <x:c r="E4" s="19" t="str">
        <x:v>LOC003</x:v>
      </x:c>
      <x:c r="F4" s="19" t="str">
        <x:v>San Francisco Bay</x:v>
      </x:c>
      <x:c r="G4" s="21" t="n">
        <x:v>37.8199</x:v>
      </x:c>
      <x:c r="H4" s="21" t="n">
        <x:v>-122.4783</x:v>
      </x:c>
      <x:c r="I4" s="21" t="str">
        <x:v>LOC006</x:v>
      </x:c>
      <x:c r="J4" s="21" t="str">
        <x:v>Pearl Harbor</x:v>
      </x:c>
      <x:c r="K4" s="21" t="n">
        <x:v>21.344</x:v>
      </x:c>
      <x:c r="L4" s="21" t="n">
        <x:v>-157.975</x:v>
      </x:c>
      <x:c r="M4" s="38" t="n">
        <x:f>D4-C4</x:f>
        <x:v>6</x:v>
      </x:c>
      <x:c r="N4" s="39" t="n">
        <x:f>2*3440.065*ASIN(SQRT(SIN(RADIANS((K4-G4)/2))^2+COS(RADIANS(G4))*COS(RADIANS(K4))*SIN(RADIANS((L4-H4)/2))^2))</x:f>
        <x:v>2083.0835262965743</x:v>
      </x:c>
      <x:c r="O4" s="39" t="n">
        <x:f>IF(M4&gt;0,N4/(M4*24),"")</x:f>
        <x:v>14.465857821503988</x:v>
      </x:c>
      <x:c r="P4" s="28" t="str">
        <x:v>chart + narrative</x:v>
      </x:c>
      <x:c r="Q4" s="28" t="str">
        <x:v>high</x:v>
      </x:c>
      <x:c r="R4" s="28" t="str">
        <x:v>high</x:v>
      </x:c>
      <x:c r="S4" s="30" t="b">
        <x:v>1</x:v>
      </x:c>
      <x:c r="T4" s="28" t="str">
        <x:v>S2</x:v>
      </x:c>
      <x:c r="U4" s="28" t="str">
        <x:v>War Cruise p.7; Album p.4</x:v>
      </x:c>
      <x:c r="V4" s="28" t="str">
        <x:v>https://terror.ringleib.com/wp-content/uploads/2021/03/Ryan-BookUSSTerror-1.pdf</x:v>
      </x:c>
      <x:c r="W4" s="28" t="str"/>
    </x:row>
    <x:row r="5">
      <x:c r="A5" s="19" t="str">
        <x:v>L004</x:v>
      </x:c>
      <x:c r="B5" s="19" t="n">
        <x:v>4</x:v>
      </x:c>
      <x:c r="C5" s="20" t="n">
        <x:v>16012</x:v>
      </x:c>
      <x:c r="D5" s="20" t="n">
        <x:v>16019</x:v>
      </x:c>
      <x:c r="E5" s="19" t="str">
        <x:v>LOC006</x:v>
      </x:c>
      <x:c r="F5" s="19" t="str">
        <x:v>Pearl Harbor</x:v>
      </x:c>
      <x:c r="G5" s="21" t="n">
        <x:v>21.344</x:v>
      </x:c>
      <x:c r="H5" s="21" t="n">
        <x:v>-157.975</x:v>
      </x:c>
      <x:c r="I5" s="21" t="str">
        <x:v>LOC007</x:v>
      </x:c>
      <x:c r="J5" s="21" t="str">
        <x:v>Funafuti</x:v>
      </x:c>
      <x:c r="K5" s="21" t="n">
        <x:v>-8.5167</x:v>
      </x:c>
      <x:c r="L5" s="21" t="n">
        <x:v>179.2</x:v>
      </x:c>
      <x:c r="M5" s="38" t="n">
        <x:f>D5-C5</x:f>
        <x:v>7</x:v>
      </x:c>
      <x:c r="N5" s="39" t="n">
        <x:f>2*3440.065*ASIN(SQRT(SIN(RADIANS((K5-G5)/2))^2+COS(RADIANS(G5))*COS(RADIANS(K5))*SIN(RADIANS((L5-H5)/2))^2))</x:f>
        <x:v>2241.5855482230504</x:v>
      </x:c>
      <x:c r="O5" s="39" t="n">
        <x:f>IF(M5&gt;0,N5/(M5*24),"")</x:f>
        <x:v>13.3427711203753</x:v>
      </x:c>
      <x:c r="P5" s="28" t="str">
        <x:v>chart + official</x:v>
      </x:c>
      <x:c r="Q5" s="28" t="str">
        <x:v>high</x:v>
      </x:c>
      <x:c r="R5" s="28" t="str">
        <x:v>high</x:v>
      </x:c>
      <x:c r="S5" s="30" t="b">
        <x:v>1</x:v>
      </x:c>
      <x:c r="T5" s="28" t="str">
        <x:v>S2</x:v>
      </x:c>
      <x:c r="U5" s="28" t="str">
        <x:v>War Cruise p.7</x:v>
      </x:c>
      <x:c r="V5" s="28" t="str">
        <x:v>https://terror.ringleib.com/wp-content/uploads/2021/03/Ryan-BookUSSTerror-1.pdf</x:v>
      </x:c>
      <x:c r="W5" s="28" t="str"/>
    </x:row>
    <x:row r="6">
      <x:c r="A6" s="19" t="str">
        <x:v>L005</x:v>
      </x:c>
      <x:c r="B6" s="19" t="n">
        <x:v>5</x:v>
      </x:c>
      <x:c r="C6" s="20" t="n">
        <x:v>16038</x:v>
      </x:c>
      <x:c r="D6" s="20" t="n">
        <x:v>16044</x:v>
      </x:c>
      <x:c r="E6" s="19" t="str">
        <x:v>LOC007</x:v>
      </x:c>
      <x:c r="F6" s="19" t="str">
        <x:v>Funafuti</x:v>
      </x:c>
      <x:c r="G6" s="21" t="n">
        <x:v>-8.5167</x:v>
      </x:c>
      <x:c r="H6" s="21" t="n">
        <x:v>179.2</x:v>
      </x:c>
      <x:c r="I6" s="21" t="str">
        <x:v>LOC006</x:v>
      </x:c>
      <x:c r="J6" s="21" t="str">
        <x:v>Pearl Harbor</x:v>
      </x:c>
      <x:c r="K6" s="21" t="n">
        <x:v>21.344</x:v>
      </x:c>
      <x:c r="L6" s="21" t="n">
        <x:v>-157.975</x:v>
      </x:c>
      <x:c r="M6" s="38" t="n">
        <x:f>D6-C6</x:f>
        <x:v>6</x:v>
      </x:c>
      <x:c r="N6" s="39" t="n">
        <x:f>2*3440.065*ASIN(SQRT(SIN(RADIANS((K6-G6)/2))^2+COS(RADIANS(G6))*COS(RADIANS(K6))*SIN(RADIANS((L6-H6)/2))^2))</x:f>
        <x:v>2241.5855482230504</x:v>
      </x:c>
      <x:c r="O6" s="39" t="n">
        <x:f>IF(M6&gt;0,N6/(M6*24),"")</x:f>
        <x:v>15.566566307104516</x:v>
      </x:c>
      <x:c r="P6" s="28" t="str">
        <x:v>chart + official</x:v>
      </x:c>
      <x:c r="Q6" s="28" t="str">
        <x:v>high</x:v>
      </x:c>
      <x:c r="R6" s="28" t="str">
        <x:v>high</x:v>
      </x:c>
      <x:c r="S6" s="30" t="b">
        <x:v>1</x:v>
      </x:c>
      <x:c r="T6" s="28" t="str">
        <x:v>S2</x:v>
      </x:c>
      <x:c r="U6" s="28" t="str">
        <x:v>War Cruise p.7</x:v>
      </x:c>
      <x:c r="V6" s="28" t="str">
        <x:v>https://terror.ringleib.com/wp-content/uploads/2021/03/Ryan-BookUSSTerror-1.pdf</x:v>
      </x:c>
      <x:c r="W6" s="28" t="str"/>
    </x:row>
    <x:row r="7">
      <x:c r="A7" s="19" t="str">
        <x:v>L006</x:v>
      </x:c>
      <x:c r="B7" s="19" t="n">
        <x:v>6</x:v>
      </x:c>
      <x:c r="C7" s="20" t="n">
        <x:v>16049</x:v>
      </x:c>
      <x:c r="D7" s="20" t="n">
        <x:v>16054</x:v>
      </x:c>
      <x:c r="E7" s="19" t="str">
        <x:v>LOC006</x:v>
      </x:c>
      <x:c r="F7" s="19" t="str">
        <x:v>Pearl Harbor</x:v>
      </x:c>
      <x:c r="G7" s="21" t="n">
        <x:v>21.344</x:v>
      </x:c>
      <x:c r="H7" s="21" t="n">
        <x:v>-157.975</x:v>
      </x:c>
      <x:c r="I7" s="21" t="str">
        <x:v>LOC008</x:v>
      </x:c>
      <x:c r="J7" s="21" t="str">
        <x:v>Tarawa</x:v>
      </x:c>
      <x:c r="K7" s="21" t="n">
        <x:v>1.35</x:v>
      </x:c>
      <x:c r="L7" s="21" t="n">
        <x:v>172.93</x:v>
      </x:c>
      <x:c r="M7" s="38" t="n">
        <x:f>D7-C7</x:f>
        <x:v>5</x:v>
      </x:c>
      <x:c r="N7" s="39" t="n">
        <x:f>2*3440.065*ASIN(SQRT(SIN(RADIANS((K7-G7)/2))^2+COS(RADIANS(G7))*COS(RADIANS(K7))*SIN(RADIANS((L7-H7)/2))^2))</x:f>
        <x:v>2082.8813764352653</x:v>
      </x:c>
      <x:c r="O7" s="39" t="n">
        <x:f>IF(M7&gt;0,N7/(M7*24),"")</x:f>
        <x:v>17.35734480362721</x:v>
      </x:c>
      <x:c r="P7" s="28" t="str">
        <x:v>chart + narrative</x:v>
      </x:c>
      <x:c r="Q7" s="28" t="str">
        <x:v>high</x:v>
      </x:c>
      <x:c r="R7" s="28" t="str">
        <x:v>high</x:v>
      </x:c>
      <x:c r="S7" s="30" t="b">
        <x:v>1</x:v>
      </x:c>
      <x:c r="T7" s="28" t="str">
        <x:v>S2</x:v>
      </x:c>
      <x:c r="U7" s="28" t="str">
        <x:v>War Cruise p.7</x:v>
      </x:c>
      <x:c r="V7" s="28" t="str">
        <x:v>https://terror.ringleib.com/wp-content/uploads/2021/03/Ryan-BookUSSTerror-1.pdf</x:v>
      </x:c>
      <x:c r="W7" s="28" t="str"/>
    </x:row>
    <x:row r="8">
      <x:c r="A8" s="19" t="str">
        <x:v>L007</x:v>
      </x:c>
      <x:c r="B8" s="19" t="n">
        <x:v>7</x:v>
      </x:c>
      <x:c r="C8" s="20" t="n">
        <x:v>16065</x:v>
      </x:c>
      <x:c r="D8" s="20" t="n">
        <x:v>16069</x:v>
      </x:c>
      <x:c r="E8" s="19" t="str">
        <x:v>LOC008</x:v>
      </x:c>
      <x:c r="F8" s="19" t="str">
        <x:v>Tarawa</x:v>
      </x:c>
      <x:c r="G8" s="21" t="n">
        <x:v>1.35</x:v>
      </x:c>
      <x:c r="H8" s="21" t="n">
        <x:v>172.93</x:v>
      </x:c>
      <x:c r="I8" s="21" t="str">
        <x:v>LOC009</x:v>
      </x:c>
      <x:c r="J8" s="21" t="str">
        <x:v>Espiritu Santo</x:v>
      </x:c>
      <x:c r="K8" s="21" t="n">
        <x:v>-15.5167</x:v>
      </x:c>
      <x:c r="L8" s="21" t="n">
        <x:v>167.1833</x:v>
      </x:c>
      <x:c r="M8" s="38" t="n">
        <x:f>D8-C8</x:f>
        <x:v>4</x:v>
      </x:c>
      <x:c r="N8" s="39" t="n">
        <x:f>2*3440.065*ASIN(SQRT(SIN(RADIANS((K8-G8)/2))^2+COS(RADIANS(G8))*COS(RADIANS(K8))*SIN(RADIANS((L8-H8)/2))^2))</x:f>
        <x:v>1068.5875173234167</x:v>
      </x:c>
      <x:c r="O8" s="39" t="n">
        <x:f>IF(M8&gt;0,N8/(M8*24),"")</x:f>
        <x:v>11.131119972118924</x:v>
      </x:c>
      <x:c r="P8" s="28" t="str">
        <x:v>chart + narrative</x:v>
      </x:c>
      <x:c r="Q8" s="28" t="str">
        <x:v>high</x:v>
      </x:c>
      <x:c r="R8" s="28" t="str">
        <x:v>high</x:v>
      </x:c>
      <x:c r="S8" s="30" t="b">
        <x:v>1</x:v>
      </x:c>
      <x:c r="T8" s="28" t="str">
        <x:v>S2</x:v>
      </x:c>
      <x:c r="U8" s="28" t="str">
        <x:v>War Cruise p.7</x:v>
      </x:c>
      <x:c r="V8" s="28" t="str">
        <x:v>https://terror.ringleib.com/wp-content/uploads/2021/03/Ryan-BookUSSTerror-1.pdf</x:v>
      </x:c>
      <x:c r="W8" s="28" t="str"/>
    </x:row>
    <x:row r="9">
      <x:c r="A9" s="19" t="str">
        <x:v>L008</x:v>
      </x:c>
      <x:c r="B9" s="19" t="n">
        <x:v>8</x:v>
      </x:c>
      <x:c r="C9" s="20" t="n">
        <x:v>16079</x:v>
      </x:c>
      <x:c r="D9" s="20" t="n">
        <x:v>16084</x:v>
      </x:c>
      <x:c r="E9" s="19" t="str">
        <x:v>LOC009</x:v>
      </x:c>
      <x:c r="F9" s="19" t="str">
        <x:v>Espiritu Santo</x:v>
      </x:c>
      <x:c r="G9" s="21" t="n">
        <x:v>-15.5167</x:v>
      </x:c>
      <x:c r="H9" s="21" t="n">
        <x:v>167.1833</x:v>
      </x:c>
      <x:c r="I9" s="21" t="str">
        <x:v>LOC010</x:v>
      </x:c>
      <x:c r="J9" s="21" t="str">
        <x:v>Guadalcanal</x:v>
      </x:c>
      <x:c r="K9" s="21" t="n">
        <x:v>-9.433</x:v>
      </x:c>
      <x:c r="L9" s="21" t="n">
        <x:v>159.95</x:v>
      </x:c>
      <x:c r="M9" s="38" t="n">
        <x:f>D9-C9</x:f>
        <x:v>5</x:v>
      </x:c>
      <x:c r="N9" s="39" t="n">
        <x:f>2*3440.065*ASIN(SQRT(SIN(RADIANS((K9-G9)/2))^2+COS(RADIANS(G9))*COS(RADIANS(K9))*SIN(RADIANS((L9-H9)/2))^2))</x:f>
        <x:v>559.4850973614887</x:v>
      </x:c>
      <x:c r="O9" s="39" t="n">
        <x:f>IF(M9&gt;0,N9/(M9*24),"")</x:f>
        <x:v>4.662375811345739</x:v>
      </x:c>
      <x:c r="P9" s="28" t="str">
        <x:v>chart + narrative</x:v>
      </x:c>
      <x:c r="Q9" s="28" t="str">
        <x:v>high</x:v>
      </x:c>
      <x:c r="R9" s="28" t="str">
        <x:v>high</x:v>
      </x:c>
      <x:c r="S9" s="30" t="b">
        <x:v>1</x:v>
      </x:c>
      <x:c r="T9" s="28" t="str">
        <x:v>S2</x:v>
      </x:c>
      <x:c r="U9" s="28" t="str">
        <x:v>War Cruise p.7</x:v>
      </x:c>
      <x:c r="V9" s="28" t="str">
        <x:v>https://terror.ringleib.com/wp-content/uploads/2021/03/Ryan-BookUSSTerror-1.pdf</x:v>
      </x:c>
      <x:c r="W9" s="28" t="str"/>
    </x:row>
    <x:row r="10">
      <x:c r="A10" s="19" t="str">
        <x:v>L009</x:v>
      </x:c>
      <x:c r="B10" s="19" t="n">
        <x:v>9</x:v>
      </x:c>
      <x:c r="C10" s="20" t="n">
        <x:v>16086</x:v>
      </x:c>
      <x:c r="D10" s="20" t="n">
        <x:v>16089</x:v>
      </x:c>
      <x:c r="E10" s="19" t="str">
        <x:v>LOC010</x:v>
      </x:c>
      <x:c r="F10" s="19" t="str">
        <x:v>Guadalcanal</x:v>
      </x:c>
      <x:c r="G10" s="21" t="n">
        <x:v>-9.433</x:v>
      </x:c>
      <x:c r="H10" s="21" t="n">
        <x:v>159.95</x:v>
      </x:c>
      <x:c r="I10" s="21" t="str">
        <x:v>LOC011</x:v>
      </x:c>
      <x:c r="J10" s="21" t="str">
        <x:v>Makin</x:v>
      </x:c>
      <x:c r="K10" s="21" t="n">
        <x:v>3.167</x:v>
      </x:c>
      <x:c r="L10" s="21" t="n">
        <x:v>172.833</x:v>
      </x:c>
      <x:c r="M10" s="38" t="n">
        <x:f>D10-C10</x:f>
        <x:v>3</x:v>
      </x:c>
      <x:c r="N10" s="39" t="n">
        <x:f>2*3440.065*ASIN(SQRT(SIN(RADIANS((K10-G10)/2))^2+COS(RADIANS(G10))*COS(RADIANS(K10))*SIN(RADIANS((L10-H10)/2))^2))</x:f>
        <x:v>1079.9939066749641</x:v>
      </x:c>
      <x:c r="O10" s="39" t="n">
        <x:f>IF(M10&gt;0,N10/(M10*24),"")</x:f>
        <x:v>14.999915370485613</x:v>
      </x:c>
      <x:c r="P10" s="28" t="str">
        <x:v>chart + official</x:v>
      </x:c>
      <x:c r="Q10" s="28" t="str">
        <x:v>high</x:v>
      </x:c>
      <x:c r="R10" s="28" t="str">
        <x:v>high</x:v>
      </x:c>
      <x:c r="S10" s="30" t="b">
        <x:v>1</x:v>
      </x:c>
      <x:c r="T10" s="28" t="str">
        <x:v>S2</x:v>
      </x:c>
      <x:c r="U10" s="28" t="str">
        <x:v>War Cruise p.7</x:v>
      </x:c>
      <x:c r="V10" s="28" t="str">
        <x:v>https://terror.ringleib.com/wp-content/uploads/2021/03/Ryan-BookUSSTerror-1.pdf</x:v>
      </x:c>
      <x:c r="W10" s="28" t="str"/>
    </x:row>
    <x:row r="11">
      <x:c r="A11" s="19" t="str">
        <x:v>L010</x:v>
      </x:c>
      <x:c r="B11" s="19" t="n">
        <x:v>10</x:v>
      </x:c>
      <x:c r="C11" s="20" t="n">
        <x:v>16099</x:v>
      </x:c>
      <x:c r="D11" s="20" t="n">
        <x:v>16100</x:v>
      </x:c>
      <x:c r="E11" s="19" t="str">
        <x:v>LOC011</x:v>
      </x:c>
      <x:c r="F11" s="19" t="str">
        <x:v>Makin</x:v>
      </x:c>
      <x:c r="G11" s="21" t="n">
        <x:v>3.167</x:v>
      </x:c>
      <x:c r="H11" s="21" t="n">
        <x:v>172.833</x:v>
      </x:c>
      <x:c r="I11" s="21" t="str">
        <x:v>LOC008</x:v>
      </x:c>
      <x:c r="J11" s="21" t="str">
        <x:v>Tarawa</x:v>
      </x:c>
      <x:c r="K11" s="21" t="n">
        <x:v>1.35</x:v>
      </x:c>
      <x:c r="L11" s="21" t="n">
        <x:v>172.93</x:v>
      </x:c>
      <x:c r="M11" s="38" t="n">
        <x:f>D11-C11</x:f>
        <x:v>1</x:v>
      </x:c>
      <x:c r="N11" s="39" t="n">
        <x:f>2*3440.065*ASIN(SQRT(SIN(RADIANS((K11-G11)/2))^2+COS(RADIANS(G11))*COS(RADIANS(K11))*SIN(RADIANS((L11-H11)/2))^2))</x:f>
        <x:v>109.24860665979553</x:v>
      </x:c>
      <x:c r="O11" s="39" t="n">
        <x:f>IF(M11&gt;0,N11/(M11*24),"")</x:f>
        <x:v>4.55202527749148</x:v>
      </x:c>
      <x:c r="P11" s="28" t="str">
        <x:v>official, arrival estimated</x:v>
      </x:c>
      <x:c r="Q11" s="28" t="str">
        <x:v>medium</x:v>
      </x:c>
      <x:c r="R11" s="28" t="str">
        <x:v>medium</x:v>
      </x:c>
      <x:c r="S11" s="30" t="b">
        <x:v>1</x:v>
      </x:c>
      <x:c r="T11" s="28" t="str">
        <x:v>S1</x:v>
      </x:c>
      <x:c r="U11" s="28" t="str">
        <x:v>DANFS late Jan 1944</x:v>
      </x:c>
      <x:c r="V11" s="28" t="str">
        <x:v>https://www.history.navy.mil/research/histories/ship-histories/danfs/t/terror-iii.html</x:v>
      </x:c>
      <x:c r="W11" s="28" t="str">
        <x:v>Brief Tarawa stop is omitted from Blakeslee's leg table.</x:v>
      </x:c>
    </x:row>
    <x:row r="12">
      <x:c r="A12" s="19" t="str">
        <x:v>L011</x:v>
      </x:c>
      <x:c r="B12" s="19" t="n">
        <x:v>11</x:v>
      </x:c>
      <x:c r="C12" s="20" t="n">
        <x:v>16102</x:v>
      </x:c>
      <x:c r="D12" s="20" t="n">
        <x:v>16108</x:v>
      </x:c>
      <x:c r="E12" s="19" t="str">
        <x:v>LOC008</x:v>
      </x:c>
      <x:c r="F12" s="19" t="str">
        <x:v>Tarawa</x:v>
      </x:c>
      <x:c r="G12" s="21" t="n">
        <x:v>1.35</x:v>
      </x:c>
      <x:c r="H12" s="21" t="n">
        <x:v>172.93</x:v>
      </x:c>
      <x:c r="I12" s="21" t="str">
        <x:v>LOC006</x:v>
      </x:c>
      <x:c r="J12" s="21" t="str">
        <x:v>Pearl Harbor</x:v>
      </x:c>
      <x:c r="K12" s="21" t="n">
        <x:v>21.344</x:v>
      </x:c>
      <x:c r="L12" s="21" t="n">
        <x:v>-157.975</x:v>
      </x:c>
      <x:c r="M12" s="38" t="n">
        <x:f>D12-C12</x:f>
        <x:v>6</x:v>
      </x:c>
      <x:c r="N12" s="39" t="n">
        <x:f>2*3440.065*ASIN(SQRT(SIN(RADIANS((K12-G12)/2))^2+COS(RADIANS(G12))*COS(RADIANS(K12))*SIN(RADIANS((L12-H12)/2))^2))</x:f>
        <x:v>2082.8813764352653</x:v>
      </x:c>
      <x:c r="O12" s="39" t="n">
        <x:f>IF(M12&gt;0,N12/(M12*24),"")</x:f>
        <x:v>14.464454003022675</x:v>
      </x:c>
      <x:c r="P12" s="28" t="str">
        <x:v>official + chart</x:v>
      </x:c>
      <x:c r="Q12" s="28" t="str">
        <x:v>medium-high</x:v>
      </x:c>
      <x:c r="R12" s="28" t="str">
        <x:v>high</x:v>
      </x:c>
      <x:c r="S12" s="30" t="b">
        <x:v>1</x:v>
      </x:c>
      <x:c r="T12" s="28" t="str">
        <x:v>S1</x:v>
      </x:c>
      <x:c r="U12" s="28" t="str">
        <x:v>DANFS / War Cruise p.7</x:v>
      </x:c>
      <x:c r="V12" s="28" t="str">
        <x:v>https://www.history.navy.mil/research/histories/ship-histories/danfs/t/terror-iii.html</x:v>
      </x:c>
      <x:c r="W12" s="28" t="str"/>
    </x:row>
    <x:row r="13">
      <x:c r="A13" s="19" t="str">
        <x:v>L012</x:v>
      </x:c>
      <x:c r="B13" s="19" t="n">
        <x:v>12</x:v>
      </x:c>
      <x:c r="C13" s="20" t="n">
        <x:v>16115</x:v>
      </x:c>
      <x:c r="D13" s="20" t="n">
        <x:v>16120</x:v>
      </x:c>
      <x:c r="E13" s="19" t="str">
        <x:v>LOC006</x:v>
      </x:c>
      <x:c r="F13" s="19" t="str">
        <x:v>Pearl Harbor</x:v>
      </x:c>
      <x:c r="G13" s="21" t="n">
        <x:v>21.344</x:v>
      </x:c>
      <x:c r="H13" s="21" t="n">
        <x:v>-157.975</x:v>
      </x:c>
      <x:c r="I13" s="21" t="str">
        <x:v>LOC003</x:v>
      </x:c>
      <x:c r="J13" s="21" t="str">
        <x:v>San Francisco Bay</x:v>
      </x:c>
      <x:c r="K13" s="21" t="n">
        <x:v>37.8199</x:v>
      </x:c>
      <x:c r="L13" s="21" t="n">
        <x:v>-122.4783</x:v>
      </x:c>
      <x:c r="M13" s="38" t="n">
        <x:f>D13-C13</x:f>
        <x:v>5</x:v>
      </x:c>
      <x:c r="N13" s="39" t="n">
        <x:f>2*3440.065*ASIN(SQRT(SIN(RADIANS((K13-G13)/2))^2+COS(RADIANS(G13))*COS(RADIANS(K13))*SIN(RADIANS((L13-H13)/2))^2))</x:f>
        <x:v>2083.0835262965743</x:v>
      </x:c>
      <x:c r="O13" s="39" t="n">
        <x:f>IF(M13&gt;0,N13/(M13*24),"")</x:f>
        <x:v>17.359029385804785</x:v>
      </x:c>
      <x:c r="P13" s="28" t="str">
        <x:v>chart + official</x:v>
      </x:c>
      <x:c r="Q13" s="28" t="str">
        <x:v>high</x:v>
      </x:c>
      <x:c r="R13" s="28" t="str">
        <x:v>high</x:v>
      </x:c>
      <x:c r="S13" s="30" t="b">
        <x:v>1</x:v>
      </x:c>
      <x:c r="T13" s="28" t="str">
        <x:v>S2</x:v>
      </x:c>
      <x:c r="U13" s="28" t="str">
        <x:v>War Cruise p.7</x:v>
      </x:c>
      <x:c r="V13" s="28" t="str">
        <x:v>https://terror.ringleib.com/wp-content/uploads/2021/03/Ryan-BookUSSTerror-1.pdf</x:v>
      </x:c>
      <x:c r="W13" s="28" t="str"/>
    </x:row>
    <x:row r="14">
      <x:c r="A14" s="19" t="str">
        <x:v>L013</x:v>
      </x:c>
      <x:c r="B14" s="19" t="n">
        <x:v>13</x:v>
      </x:c>
      <x:c r="C14" s="20" t="n">
        <x:v>16123</x:v>
      </x:c>
      <x:c r="D14" s="20" t="n">
        <x:v>16128</x:v>
      </x:c>
      <x:c r="E14" s="19" t="str">
        <x:v>LOC003</x:v>
      </x:c>
      <x:c r="F14" s="19" t="str">
        <x:v>San Francisco Bay</x:v>
      </x:c>
      <x:c r="G14" s="21" t="n">
        <x:v>37.8199</x:v>
      </x:c>
      <x:c r="H14" s="21" t="n">
        <x:v>-122.4783</x:v>
      </x:c>
      <x:c r="I14" s="21" t="str">
        <x:v>LOC006</x:v>
      </x:c>
      <x:c r="J14" s="21" t="str">
        <x:v>Pearl Harbor</x:v>
      </x:c>
      <x:c r="K14" s="21" t="n">
        <x:v>21.344</x:v>
      </x:c>
      <x:c r="L14" s="21" t="n">
        <x:v>-157.975</x:v>
      </x:c>
      <x:c r="M14" s="38" t="n">
        <x:f>D14-C14</x:f>
        <x:v>5</x:v>
      </x:c>
      <x:c r="N14" s="39" t="n">
        <x:f>2*3440.065*ASIN(SQRT(SIN(RADIANS((K14-G14)/2))^2+COS(RADIANS(G14))*COS(RADIANS(K14))*SIN(RADIANS((L14-H14)/2))^2))</x:f>
        <x:v>2083.0835262965743</x:v>
      </x:c>
      <x:c r="O14" s="39" t="n">
        <x:f>IF(M14&gt;0,N14/(M14*24),"")</x:f>
        <x:v>17.359029385804785</x:v>
      </x:c>
      <x:c r="P14" s="28" t="str">
        <x:v>chart + official</x:v>
      </x:c>
      <x:c r="Q14" s="28" t="str">
        <x:v>high</x:v>
      </x:c>
      <x:c r="R14" s="28" t="str">
        <x:v>high</x:v>
      </x:c>
      <x:c r="S14" s="30" t="b">
        <x:v>1</x:v>
      </x:c>
      <x:c r="T14" s="28" t="str">
        <x:v>S2</x:v>
      </x:c>
      <x:c r="U14" s="28" t="str">
        <x:v>War Cruise p.7</x:v>
      </x:c>
      <x:c r="V14" s="28" t="str">
        <x:v>https://terror.ringleib.com/wp-content/uploads/2021/03/Ryan-BookUSSTerror-1.pdf</x:v>
      </x:c>
      <x:c r="W14" s="28" t="str"/>
    </x:row>
    <x:row r="15">
      <x:c r="A15" s="19" t="str">
        <x:v>L014</x:v>
      </x:c>
      <x:c r="B15" s="19" t="n">
        <x:v>14</x:v>
      </x:c>
      <x:c r="C15" s="20" t="n">
        <x:v>16136</x:v>
      </x:c>
      <x:c r="D15" s="20" t="n">
        <x:v>16141</x:v>
      </x:c>
      <x:c r="E15" s="19" t="str">
        <x:v>LOC006</x:v>
      </x:c>
      <x:c r="F15" s="19" t="str">
        <x:v>Pearl Harbor</x:v>
      </x:c>
      <x:c r="G15" s="21" t="n">
        <x:v>21.344</x:v>
      </x:c>
      <x:c r="H15" s="21" t="n">
        <x:v>-157.975</x:v>
      </x:c>
      <x:c r="I15" s="21" t="str">
        <x:v>LOC012</x:v>
      </x:c>
      <x:c r="J15" s="21" t="str">
        <x:v>Majuro</x:v>
      </x:c>
      <x:c r="K15" s="21" t="n">
        <x:v>7.1167</x:v>
      </x:c>
      <x:c r="L15" s="21" t="n">
        <x:v>171.3667</x:v>
      </x:c>
      <x:c r="M15" s="38" t="n">
        <x:f>D15-C15</x:f>
        <x:v>5</x:v>
      </x:c>
      <x:c r="N15" s="39" t="n">
        <x:f>2*3440.065*ASIN(SQRT(SIN(RADIANS((K15-G15)/2))^2+COS(RADIANS(G15))*COS(RADIANS(K15))*SIN(RADIANS((L15-H15)/2))^2))</x:f>
        <x:v>1972.0221671499755</x:v>
      </x:c>
      <x:c r="O15" s="39" t="n">
        <x:f>IF(M15&gt;0,N15/(M15*24),"")</x:f>
        <x:v>16.43351805958313</x:v>
      </x:c>
      <x:c r="P15" s="28" t="str">
        <x:v>chart + official</x:v>
      </x:c>
      <x:c r="Q15" s="28" t="str">
        <x:v>high</x:v>
      </x:c>
      <x:c r="R15" s="28" t="str">
        <x:v>high</x:v>
      </x:c>
      <x:c r="S15" s="30" t="b">
        <x:v>1</x:v>
      </x:c>
      <x:c r="T15" s="28" t="str">
        <x:v>S2</x:v>
      </x:c>
      <x:c r="U15" s="28" t="str">
        <x:v>War Cruise p.7</x:v>
      </x:c>
      <x:c r="V15" s="28" t="str">
        <x:v>https://terror.ringleib.com/wp-content/uploads/2021/03/Ryan-BookUSSTerror-1.pdf</x:v>
      </x:c>
      <x:c r="W15" s="28" t="str"/>
    </x:row>
    <x:row r="16">
      <x:c r="A16" s="19" t="str">
        <x:v>L015</x:v>
      </x:c>
      <x:c r="B16" s="19" t="n">
        <x:v>15</x:v>
      </x:c>
      <x:c r="C16" s="20" t="n">
        <x:v>16141</x:v>
      </x:c>
      <x:c r="D16" s="20" t="n">
        <x:v>16143</x:v>
      </x:c>
      <x:c r="E16" s="19" t="str">
        <x:v>LOC012</x:v>
      </x:c>
      <x:c r="F16" s="19" t="str">
        <x:v>Majuro</x:v>
      </x:c>
      <x:c r="G16" s="21" t="n">
        <x:v>7.1167</x:v>
      </x:c>
      <x:c r="H16" s="21" t="n">
        <x:v>171.3667</x:v>
      </x:c>
      <x:c r="I16" s="21" t="str">
        <x:v>LOC013</x:v>
      </x:c>
      <x:c r="J16" s="21" t="str">
        <x:v>Kwajalein</x:v>
      </x:c>
      <x:c r="K16" s="21" t="n">
        <x:v>8.7167</x:v>
      </x:c>
      <x:c r="L16" s="21" t="n">
        <x:v>167.7333</x:v>
      </x:c>
      <x:c r="M16" s="38" t="n">
        <x:f>D16-C16</x:f>
        <x:v>2</x:v>
      </x:c>
      <x:c r="N16" s="39" t="n">
        <x:f>2*3440.065*ASIN(SQRT(SIN(RADIANS((K16-G16)/2))^2+COS(RADIANS(G16))*COS(RADIANS(K16))*SIN(RADIANS((L16-H16)/2))^2))</x:f>
        <x:v>236.45716054351414</x:v>
      </x:c>
      <x:c r="O16" s="39" t="n">
        <x:f>IF(M16&gt;0,N16/(M16*24),"")</x:f>
        <x:v>4.926190844656545</x:v>
      </x:c>
      <x:c r="P16" s="28" t="str">
        <x:v>chart</x:v>
      </x:c>
      <x:c r="Q16" s="28" t="str">
        <x:v>medium-high</x:v>
      </x:c>
      <x:c r="R16" s="28" t="str">
        <x:v>high</x:v>
      </x:c>
      <x:c r="S16" s="30" t="b">
        <x:v>1</x:v>
      </x:c>
      <x:c r="T16" s="28" t="str">
        <x:v>S2</x:v>
      </x:c>
      <x:c r="U16" s="28" t="str">
        <x:v>War Cruise p.7</x:v>
      </x:c>
      <x:c r="V16" s="28" t="str">
        <x:v>https://terror.ringleib.com/wp-content/uploads/2021/03/Ryan-BookUSSTerror-1.pdf</x:v>
      </x:c>
      <x:c r="W16" s="28" t="str"/>
    </x:row>
    <x:row r="17">
      <x:c r="A17" s="19" t="str">
        <x:v>L016</x:v>
      </x:c>
      <x:c r="B17" s="19" t="n">
        <x:v>16</x:v>
      </x:c>
      <x:c r="C17" s="20" t="n">
        <x:v>16147</x:v>
      </x:c>
      <x:c r="D17" s="20" t="n">
        <x:v>16148</x:v>
      </x:c>
      <x:c r="E17" s="19" t="str">
        <x:v>LOC013</x:v>
      </x:c>
      <x:c r="F17" s="19" t="str">
        <x:v>Kwajalein</x:v>
      </x:c>
      <x:c r="G17" s="21" t="n">
        <x:v>8.7167</x:v>
      </x:c>
      <x:c r="H17" s="21" t="n">
        <x:v>167.7333</x:v>
      </x:c>
      <x:c r="I17" s="21" t="str">
        <x:v>LOC012</x:v>
      </x:c>
      <x:c r="J17" s="21" t="str">
        <x:v>Majuro</x:v>
      </x:c>
      <x:c r="K17" s="21" t="n">
        <x:v>7.1167</x:v>
      </x:c>
      <x:c r="L17" s="21" t="n">
        <x:v>171.3667</x:v>
      </x:c>
      <x:c r="M17" s="38" t="n">
        <x:f>D17-C17</x:f>
        <x:v>1</x:v>
      </x:c>
      <x:c r="N17" s="39" t="n">
        <x:f>2*3440.065*ASIN(SQRT(SIN(RADIANS((K17-G17)/2))^2+COS(RADIANS(G17))*COS(RADIANS(K17))*SIN(RADIANS((L17-H17)/2))^2))</x:f>
        <x:v>236.45716054351414</x:v>
      </x:c>
      <x:c r="O17" s="39" t="n">
        <x:f>IF(M17&gt;0,N17/(M17*24),"")</x:f>
        <x:v>9.85238168931309</x:v>
      </x:c>
      <x:c r="P17" s="28" t="str">
        <x:v>chart</x:v>
      </x:c>
      <x:c r="Q17" s="28" t="str">
        <x:v>medium-high</x:v>
      </x:c>
      <x:c r="R17" s="28" t="str">
        <x:v>high</x:v>
      </x:c>
      <x:c r="S17" s="30" t="b">
        <x:v>1</x:v>
      </x:c>
      <x:c r="T17" s="28" t="str">
        <x:v>S2</x:v>
      </x:c>
      <x:c r="U17" s="28" t="str">
        <x:v>War Cruise p.7</x:v>
      </x:c>
      <x:c r="V17" s="28" t="str">
        <x:v>https://terror.ringleib.com/wp-content/uploads/2021/03/Ryan-BookUSSTerror-1.pdf</x:v>
      </x:c>
      <x:c r="W17" s="28" t="str"/>
    </x:row>
    <x:row r="18">
      <x:c r="A18" s="19" t="str">
        <x:v>L017</x:v>
      </x:c>
      <x:c r="B18" s="19" t="n">
        <x:v>17</x:v>
      </x:c>
      <x:c r="C18" s="20" t="n">
        <x:v>16157</x:v>
      </x:c>
      <x:c r="D18" s="20" t="n">
        <x:v>16158</x:v>
      </x:c>
      <x:c r="E18" s="19" t="str">
        <x:v>LOC012</x:v>
      </x:c>
      <x:c r="F18" s="19" t="str">
        <x:v>Majuro</x:v>
      </x:c>
      <x:c r="G18" s="21" t="n">
        <x:v>7.1167</x:v>
      </x:c>
      <x:c r="H18" s="21" t="n">
        <x:v>171.3667</x:v>
      </x:c>
      <x:c r="I18" s="21" t="str">
        <x:v>LOC013</x:v>
      </x:c>
      <x:c r="J18" s="21" t="str">
        <x:v>Kwajalein</x:v>
      </x:c>
      <x:c r="K18" s="21" t="n">
        <x:v>8.7167</x:v>
      </x:c>
      <x:c r="L18" s="21" t="n">
        <x:v>167.7333</x:v>
      </x:c>
      <x:c r="M18" s="38" t="n">
        <x:f>D18-C18</x:f>
        <x:v>1</x:v>
      </x:c>
      <x:c r="N18" s="39" t="n">
        <x:f>2*3440.065*ASIN(SQRT(SIN(RADIANS((K18-G18)/2))^2+COS(RADIANS(G18))*COS(RADIANS(K18))*SIN(RADIANS((L18-H18)/2))^2))</x:f>
        <x:v>236.45716054351414</x:v>
      </x:c>
      <x:c r="O18" s="39" t="n">
        <x:f>IF(M18&gt;0,N18/(M18*24),"")</x:f>
        <x:v>9.85238168931309</x:v>
      </x:c>
      <x:c r="P18" s="28" t="str">
        <x:v>chart</x:v>
      </x:c>
      <x:c r="Q18" s="28" t="str">
        <x:v>medium-high</x:v>
      </x:c>
      <x:c r="R18" s="28" t="str">
        <x:v>high</x:v>
      </x:c>
      <x:c r="S18" s="30" t="b">
        <x:v>1</x:v>
      </x:c>
      <x:c r="T18" s="28" t="str">
        <x:v>S2</x:v>
      </x:c>
      <x:c r="U18" s="28" t="str">
        <x:v>War Cruise p.7</x:v>
      </x:c>
      <x:c r="V18" s="28" t="str">
        <x:v>https://terror.ringleib.com/wp-content/uploads/2021/03/Ryan-BookUSSTerror-1.pdf</x:v>
      </x:c>
      <x:c r="W18" s="28" t="str"/>
    </x:row>
    <x:row r="19">
      <x:c r="A19" s="19" t="str">
        <x:v>L018</x:v>
      </x:c>
      <x:c r="B19" s="19" t="n">
        <x:v>18</x:v>
      </x:c>
      <x:c r="C19" s="20" t="n">
        <x:v>16167</x:v>
      </x:c>
      <x:c r="D19" s="20" t="n">
        <x:v>16168</x:v>
      </x:c>
      <x:c r="E19" s="19" t="str">
        <x:v>LOC013</x:v>
      </x:c>
      <x:c r="F19" s="19" t="str">
        <x:v>Kwajalein</x:v>
      </x:c>
      <x:c r="G19" s="21" t="n">
        <x:v>8.7167</x:v>
      </x:c>
      <x:c r="H19" s="21" t="n">
        <x:v>167.7333</x:v>
      </x:c>
      <x:c r="I19" s="21" t="str">
        <x:v>LOC012</x:v>
      </x:c>
      <x:c r="J19" s="21" t="str">
        <x:v>Majuro</x:v>
      </x:c>
      <x:c r="K19" s="21" t="n">
        <x:v>7.1167</x:v>
      </x:c>
      <x:c r="L19" s="21" t="n">
        <x:v>171.3667</x:v>
      </x:c>
      <x:c r="M19" s="38" t="n">
        <x:f>D19-C19</x:f>
        <x:v>1</x:v>
      </x:c>
      <x:c r="N19" s="39" t="n">
        <x:f>2*3440.065*ASIN(SQRT(SIN(RADIANS((K19-G19)/2))^2+COS(RADIANS(G19))*COS(RADIANS(K19))*SIN(RADIANS((L19-H19)/2))^2))</x:f>
        <x:v>236.45716054351414</x:v>
      </x:c>
      <x:c r="O19" s="39" t="n">
        <x:f>IF(M19&gt;0,N19/(M19*24),"")</x:f>
        <x:v>9.85238168931309</x:v>
      </x:c>
      <x:c r="P19" s="28" t="str">
        <x:v>chart</x:v>
      </x:c>
      <x:c r="Q19" s="28" t="str">
        <x:v>medium-high</x:v>
      </x:c>
      <x:c r="R19" s="28" t="str">
        <x:v>high</x:v>
      </x:c>
      <x:c r="S19" s="30" t="b">
        <x:v>1</x:v>
      </x:c>
      <x:c r="T19" s="28" t="str">
        <x:v>S2</x:v>
      </x:c>
      <x:c r="U19" s="28" t="str">
        <x:v>War Cruise p.7</x:v>
      </x:c>
      <x:c r="V19" s="28" t="str">
        <x:v>https://terror.ringleib.com/wp-content/uploads/2021/03/Ryan-BookUSSTerror-1.pdf</x:v>
      </x:c>
      <x:c r="W19" s="28" t="str"/>
    </x:row>
    <x:row r="20">
      <x:c r="A20" s="19" t="str">
        <x:v>L019</x:v>
      </x:c>
      <x:c r="B20" s="19" t="n">
        <x:v>19</x:v>
      </x:c>
      <x:c r="C20" s="20" t="n">
        <x:v>16174</x:v>
      </x:c>
      <x:c r="D20" s="20" t="n">
        <x:v>16176</x:v>
      </x:c>
      <x:c r="E20" s="19" t="str">
        <x:v>LOC012</x:v>
      </x:c>
      <x:c r="F20" s="19" t="str">
        <x:v>Majuro</x:v>
      </x:c>
      <x:c r="G20" s="21" t="n">
        <x:v>7.1167</x:v>
      </x:c>
      <x:c r="H20" s="21" t="n">
        <x:v>171.3667</x:v>
      </x:c>
      <x:c r="I20" s="21" t="str">
        <x:v>LOC014</x:v>
      </x:c>
      <x:c r="J20" s="21" t="str">
        <x:v>Enewetak</x:v>
      </x:c>
      <x:c r="K20" s="21" t="n">
        <x:v>11.35</x:v>
      </x:c>
      <x:c r="L20" s="21" t="n">
        <x:v>162.35</x:v>
      </x:c>
      <x:c r="M20" s="38" t="n">
        <x:f>D20-C20</x:f>
        <x:v>2</x:v>
      </x:c>
      <x:c r="N20" s="39" t="n">
        <x:f>2*3440.065*ASIN(SQRT(SIN(RADIANS((K20-G20)/2))^2+COS(RADIANS(G20))*COS(RADIANS(K20))*SIN(RADIANS((L20-H20)/2))^2))</x:f>
        <x:v>591.590211920442</x:v>
      </x:c>
      <x:c r="O20" s="39" t="n">
        <x:f>IF(M20&gt;0,N20/(M20*24),"")</x:f>
        <x:v>12.324796081675876</x:v>
      </x:c>
      <x:c r="P20" s="28" t="str">
        <x:v>chart</x:v>
      </x:c>
      <x:c r="Q20" s="28" t="str">
        <x:v>medium-high</x:v>
      </x:c>
      <x:c r="R20" s="28" t="str">
        <x:v>high</x:v>
      </x:c>
      <x:c r="S20" s="30" t="b">
        <x:v>1</x:v>
      </x:c>
      <x:c r="T20" s="28" t="str">
        <x:v>S2</x:v>
      </x:c>
      <x:c r="U20" s="28" t="str">
        <x:v>War Cruise p.7</x:v>
      </x:c>
      <x:c r="V20" s="28" t="str">
        <x:v>https://terror.ringleib.com/wp-content/uploads/2021/03/Ryan-BookUSSTerror-1.pdf</x:v>
      </x:c>
      <x:c r="W20" s="28" t="str"/>
    </x:row>
    <x:row r="21">
      <x:c r="A21" s="19" t="str">
        <x:v>L020</x:v>
      </x:c>
      <x:c r="B21" s="19" t="n">
        <x:v>20</x:v>
      </x:c>
      <x:c r="C21" s="20" t="n">
        <x:v>16184</x:v>
      </x:c>
      <x:c r="D21" s="20" t="n">
        <x:v>16191</x:v>
      </x:c>
      <x:c r="E21" s="19" t="str">
        <x:v>LOC014</x:v>
      </x:c>
      <x:c r="F21" s="19" t="str">
        <x:v>Enewetak</x:v>
      </x:c>
      <x:c r="G21" s="21" t="n">
        <x:v>11.35</x:v>
      </x:c>
      <x:c r="H21" s="21" t="n">
        <x:v>162.35</x:v>
      </x:c>
      <x:c r="I21" s="21" t="str">
        <x:v>LOC006</x:v>
      </x:c>
      <x:c r="J21" s="21" t="str">
        <x:v>Pearl Harbor</x:v>
      </x:c>
      <x:c r="K21" s="21" t="n">
        <x:v>21.344</x:v>
      </x:c>
      <x:c r="L21" s="21" t="n">
        <x:v>-157.975</x:v>
      </x:c>
      <x:c r="M21" s="38" t="n">
        <x:f>D21-C21</x:f>
        <x:v>7</x:v>
      </x:c>
      <x:c r="N21" s="39" t="n">
        <x:f>2*3440.065*ASIN(SQRT(SIN(RADIANS((K21-G21)/2))^2+COS(RADIANS(G21))*COS(RADIANS(K21))*SIN(RADIANS((L21-H21)/2))^2))</x:f>
        <x:v>2356.0215337235295</x:v>
      </x:c>
      <x:c r="O21" s="39" t="n">
        <x:f>IF(M21&gt;0,N21/(M21*24),"")</x:f>
        <x:v>14.023937700735294</x:v>
      </x:c>
      <x:c r="P21" s="28" t="str">
        <x:v>official departure, arrival estimated</x:v>
      </x:c>
      <x:c r="Q21" s="28" t="str">
        <x:v>medium</x:v>
      </x:c>
      <x:c r="R21" s="28" t="str">
        <x:v>medium-high</x:v>
      </x:c>
      <x:c r="S21" s="30" t="b">
        <x:v>1</x:v>
      </x:c>
      <x:c r="T21" s="28" t="str">
        <x:v>S1</x:v>
      </x:c>
      <x:c r="U21" s="28" t="str">
        <x:v>DANFS Apr 1944</x:v>
      </x:c>
      <x:c r="V21" s="28" t="str">
        <x:v>https://www.history.navy.mil/research/histories/ship-histories/danfs/t/terror-iii.html</x:v>
      </x:c>
      <x:c r="W21" s="28" t="str">
        <x:v>Blakeslee chart gives 17–20 Apr, an implausibly fast leg that conflicts with DANFS.</x:v>
      </x:c>
    </x:row>
    <x:row r="22">
      <x:c r="A22" s="19" t="str">
        <x:v>L021</x:v>
      </x:c>
      <x:c r="B22" s="19" t="n">
        <x:v>21</x:v>
      </x:c>
      <x:c r="C22" s="20" t="n">
        <x:v>16216</x:v>
      </x:c>
      <x:c r="D22" s="20" t="n">
        <x:v>16222</x:v>
      </x:c>
      <x:c r="E22" s="19" t="str">
        <x:v>LOC006</x:v>
      </x:c>
      <x:c r="F22" s="19" t="str">
        <x:v>Pearl Harbor</x:v>
      </x:c>
      <x:c r="G22" s="21" t="n">
        <x:v>21.344</x:v>
      </x:c>
      <x:c r="H22" s="21" t="n">
        <x:v>-157.975</x:v>
      </x:c>
      <x:c r="I22" s="21" t="str">
        <x:v>LOC012</x:v>
      </x:c>
      <x:c r="J22" s="21" t="str">
        <x:v>Majuro</x:v>
      </x:c>
      <x:c r="K22" s="21" t="n">
        <x:v>7.1167</x:v>
      </x:c>
      <x:c r="L22" s="21" t="n">
        <x:v>171.3667</x:v>
      </x:c>
      <x:c r="M22" s="38" t="n">
        <x:f>D22-C22</x:f>
        <x:v>6</x:v>
      </x:c>
      <x:c r="N22" s="39" t="n">
        <x:f>2*3440.065*ASIN(SQRT(SIN(RADIANS((K22-G22)/2))^2+COS(RADIANS(G22))*COS(RADIANS(K22))*SIN(RADIANS((L22-H22)/2))^2))</x:f>
        <x:v>1972.0221671499755</x:v>
      </x:c>
      <x:c r="O22" s="39" t="n">
        <x:f>IF(M22&gt;0,N22/(M22*24),"")</x:f>
        <x:v>13.69459838298594</x:v>
      </x:c>
      <x:c r="P22" s="28" t="str">
        <x:v>chart + official</x:v>
      </x:c>
      <x:c r="Q22" s="28" t="str">
        <x:v>high</x:v>
      </x:c>
      <x:c r="R22" s="28" t="str">
        <x:v>high</x:v>
      </x:c>
      <x:c r="S22" s="30" t="b">
        <x:v>1</x:v>
      </x:c>
      <x:c r="T22" s="28" t="str">
        <x:v>S2</x:v>
      </x:c>
      <x:c r="U22" s="28" t="str">
        <x:v>War Cruise p.7</x:v>
      </x:c>
      <x:c r="V22" s="28" t="str">
        <x:v>https://terror.ringleib.com/wp-content/uploads/2021/03/Ryan-BookUSSTerror-1.pdf</x:v>
      </x:c>
      <x:c r="W22" s="28" t="str"/>
    </x:row>
    <x:row r="23">
      <x:c r="A23" s="19" t="str">
        <x:v>L022</x:v>
      </x:c>
      <x:c r="B23" s="19" t="n">
        <x:v>22</x:v>
      </x:c>
      <x:c r="C23" s="20" t="n">
        <x:v>16229</x:v>
      </x:c>
      <x:c r="D23" s="20" t="n">
        <x:v>16230</x:v>
      </x:c>
      <x:c r="E23" s="19" t="str">
        <x:v>LOC012</x:v>
      </x:c>
      <x:c r="F23" s="19" t="str">
        <x:v>Majuro</x:v>
      </x:c>
      <x:c r="G23" s="21" t="n">
        <x:v>7.1167</x:v>
      </x:c>
      <x:c r="H23" s="21" t="n">
        <x:v>171.3667</x:v>
      </x:c>
      <x:c r="I23" s="21" t="str">
        <x:v>LOC011</x:v>
      </x:c>
      <x:c r="J23" s="21" t="str">
        <x:v>Makin</x:v>
      </x:c>
      <x:c r="K23" s="21" t="n">
        <x:v>3.167</x:v>
      </x:c>
      <x:c r="L23" s="21" t="n">
        <x:v>172.833</x:v>
      </x:c>
      <x:c r="M23" s="38" t="n">
        <x:f>D23-C23</x:f>
        <x:v>1</x:v>
      </x:c>
      <x:c r="N23" s="39" t="n">
        <x:f>2*3440.065*ASIN(SQRT(SIN(RADIANS((K23-G23)/2))^2+COS(RADIANS(G23))*COS(RADIANS(K23))*SIN(RADIANS((L23-H23)/2))^2))</x:f>
        <x:v>252.82688280524602</x:v>
      </x:c>
      <x:c r="O23" s="39" t="n">
        <x:f>IF(M23&gt;0,N23/(M23*24),"")</x:f>
        <x:v>10.534453450218583</x:v>
      </x:c>
      <x:c r="P23" s="28" t="str">
        <x:v>chart</x:v>
      </x:c>
      <x:c r="Q23" s="28" t="str">
        <x:v>medium-high</x:v>
      </x:c>
      <x:c r="R23" s="28" t="str">
        <x:v>high</x:v>
      </x:c>
      <x:c r="S23" s="30" t="b">
        <x:v>1</x:v>
      </x:c>
      <x:c r="T23" s="28" t="str">
        <x:v>S2</x:v>
      </x:c>
      <x:c r="U23" s="28" t="str">
        <x:v>War Cruise p.7</x:v>
      </x:c>
      <x:c r="V23" s="28" t="str">
        <x:v>https://terror.ringleib.com/wp-content/uploads/2021/03/Ryan-BookUSSTerror-1.pdf</x:v>
      </x:c>
      <x:c r="W23" s="28" t="str"/>
    </x:row>
    <x:row r="24">
      <x:c r="A24" s="19" t="str">
        <x:v>L023</x:v>
      </x:c>
      <x:c r="B24" s="19" t="n">
        <x:v>23</x:v>
      </x:c>
      <x:c r="C24" s="20" t="n">
        <x:v>16240</x:v>
      </x:c>
      <x:c r="D24" s="20" t="n">
        <x:v>16241</x:v>
      </x:c>
      <x:c r="E24" s="19" t="str">
        <x:v>LOC011</x:v>
      </x:c>
      <x:c r="F24" s="19" t="str">
        <x:v>Makin</x:v>
      </x:c>
      <x:c r="G24" s="21" t="n">
        <x:v>3.167</x:v>
      </x:c>
      <x:c r="H24" s="21" t="n">
        <x:v>172.833</x:v>
      </x:c>
      <x:c r="I24" s="21" t="str">
        <x:v>LOC014</x:v>
      </x:c>
      <x:c r="J24" s="21" t="str">
        <x:v>Enewetak</x:v>
      </x:c>
      <x:c r="K24" s="21" t="n">
        <x:v>11.35</x:v>
      </x:c>
      <x:c r="L24" s="21" t="n">
        <x:v>162.35</x:v>
      </x:c>
      <x:c r="M24" s="38" t="n">
        <x:f>D24-C24</x:f>
        <x:v>1</x:v>
      </x:c>
      <x:c r="N24" s="39" t="n">
        <x:f>2*3440.065*ASIN(SQRT(SIN(RADIANS((K24-G24)/2))^2+COS(RADIANS(G24))*COS(RADIANS(K24))*SIN(RADIANS((L24-H24)/2))^2))</x:f>
        <x:v>794.0398636248156</x:v>
      </x:c>
      <x:c r="O24" s="39" t="n">
        <x:f>IF(M24&gt;0,N24/(M24*24),"")</x:f>
        <x:v>33.08499431770065</x:v>
      </x:c>
      <x:c r="P24" s="28" t="str">
        <x:v>chart</x:v>
      </x:c>
      <x:c r="Q24" s="28" t="str">
        <x:v>medium-high</x:v>
      </x:c>
      <x:c r="R24" s="28" t="str">
        <x:v>high</x:v>
      </x:c>
      <x:c r="S24" s="30" t="b">
        <x:v>1</x:v>
      </x:c>
      <x:c r="T24" s="28" t="str">
        <x:v>S2</x:v>
      </x:c>
      <x:c r="U24" s="28" t="str">
        <x:v>War Cruise p.7</x:v>
      </x:c>
      <x:c r="V24" s="28" t="str">
        <x:v>https://terror.ringleib.com/wp-content/uploads/2021/03/Ryan-BookUSSTerror-1.pdf</x:v>
      </x:c>
      <x:c r="W24" s="28" t="str"/>
    </x:row>
    <x:row r="25">
      <x:c r="A25" s="19" t="str">
        <x:v>L024</x:v>
      </x:c>
      <x:c r="B25" s="19" t="n">
        <x:v>24</x:v>
      </x:c>
      <x:c r="C25" s="20" t="n">
        <x:v>16260</x:v>
      </x:c>
      <x:c r="D25" s="20" t="n">
        <x:v>16265</x:v>
      </x:c>
      <x:c r="E25" s="19" t="str">
        <x:v>LOC014</x:v>
      </x:c>
      <x:c r="F25" s="19" t="str">
        <x:v>Enewetak</x:v>
      </x:c>
      <x:c r="G25" s="21" t="n">
        <x:v>11.35</x:v>
      </x:c>
      <x:c r="H25" s="21" t="n">
        <x:v>162.35</x:v>
      </x:c>
      <x:c r="I25" s="21" t="str">
        <x:v>LOC006</x:v>
      </x:c>
      <x:c r="J25" s="21" t="str">
        <x:v>Pearl Harbor</x:v>
      </x:c>
      <x:c r="K25" s="21" t="n">
        <x:v>21.344</x:v>
      </x:c>
      <x:c r="L25" s="21" t="n">
        <x:v>-157.975</x:v>
      </x:c>
      <x:c r="M25" s="38" t="n">
        <x:f>D25-C25</x:f>
        <x:v>5</x:v>
      </x:c>
      <x:c r="N25" s="39" t="n">
        <x:f>2*3440.065*ASIN(SQRT(SIN(RADIANS((K25-G25)/2))^2+COS(RADIANS(G25))*COS(RADIANS(K25))*SIN(RADIANS((L25-H25)/2))^2))</x:f>
        <x:v>2356.0215337235295</x:v>
      </x:c>
      <x:c r="O25" s="39" t="n">
        <x:f>IF(M25&gt;0,N25/(M25*24),"")</x:f>
        <x:v>19.633512781029413</x:v>
      </x:c>
      <x:c r="P25" s="28" t="str">
        <x:v>chart</x:v>
      </x:c>
      <x:c r="Q25" s="28" t="str">
        <x:v>medium-high</x:v>
      </x:c>
      <x:c r="R25" s="28" t="str">
        <x:v>high</x:v>
      </x:c>
      <x:c r="S25" s="30" t="b">
        <x:v>1</x:v>
      </x:c>
      <x:c r="T25" s="28" t="str">
        <x:v>S2</x:v>
      </x:c>
      <x:c r="U25" s="28" t="str">
        <x:v>War Cruise p.7</x:v>
      </x:c>
      <x:c r="V25" s="28" t="str">
        <x:v>https://terror.ringleib.com/wp-content/uploads/2021/03/Ryan-BookUSSTerror-1.pdf</x:v>
      </x:c>
      <x:c r="W25" s="28" t="str"/>
    </x:row>
    <x:row r="26">
      <x:c r="A26" s="19" t="str">
        <x:v>L025</x:v>
      </x:c>
      <x:c r="B26" s="19" t="n">
        <x:v>25</x:v>
      </x:c>
      <x:c r="C26" s="20" t="n">
        <x:v>16273</x:v>
      </x:c>
      <x:c r="D26" s="20" t="n">
        <x:v>16280</x:v>
      </x:c>
      <x:c r="E26" s="19" t="str">
        <x:v>LOC006</x:v>
      </x:c>
      <x:c r="F26" s="19" t="str">
        <x:v>Pearl Harbor</x:v>
      </x:c>
      <x:c r="G26" s="21" t="n">
        <x:v>21.344</x:v>
      </x:c>
      <x:c r="H26" s="21" t="n">
        <x:v>-157.975</x:v>
      </x:c>
      <x:c r="I26" s="21" t="str">
        <x:v>LOC014</x:v>
      </x:c>
      <x:c r="J26" s="21" t="str">
        <x:v>Enewetak</x:v>
      </x:c>
      <x:c r="K26" s="21" t="n">
        <x:v>11.35</x:v>
      </x:c>
      <x:c r="L26" s="21" t="n">
        <x:v>162.35</x:v>
      </x:c>
      <x:c r="M26" s="38" t="n">
        <x:f>D26-C26</x:f>
        <x:v>7</x:v>
      </x:c>
      <x:c r="N26" s="39" t="n">
        <x:f>2*3440.065*ASIN(SQRT(SIN(RADIANS((K26-G26)/2))^2+COS(RADIANS(G26))*COS(RADIANS(K26))*SIN(RADIANS((L26-H26)/2))^2))</x:f>
        <x:v>2356.0215337235295</x:v>
      </x:c>
      <x:c r="O26" s="39" t="n">
        <x:f>IF(M26&gt;0,N26/(M26*24),"")</x:f>
        <x:v>14.023937700735294</x:v>
      </x:c>
      <x:c r="P26" s="28" t="str">
        <x:v>chart</x:v>
      </x:c>
      <x:c r="Q26" s="28" t="str">
        <x:v>medium-high</x:v>
      </x:c>
      <x:c r="R26" s="28" t="str">
        <x:v>high</x:v>
      </x:c>
      <x:c r="S26" s="30" t="b">
        <x:v>1</x:v>
      </x:c>
      <x:c r="T26" s="28" t="str">
        <x:v>S2</x:v>
      </x:c>
      <x:c r="U26" s="28" t="str">
        <x:v>War Cruise p.7</x:v>
      </x:c>
      <x:c r="V26" s="28" t="str">
        <x:v>https://terror.ringleib.com/wp-content/uploads/2021/03/Ryan-BookUSSTerror-1.pdf</x:v>
      </x:c>
      <x:c r="W26" s="28" t="str"/>
    </x:row>
    <x:row r="27">
      <x:c r="A27" s="19" t="str">
        <x:v>L026</x:v>
      </x:c>
      <x:c r="B27" s="19" t="n">
        <x:v>26</x:v>
      </x:c>
      <x:c r="C27" s="20" t="n">
        <x:v>16283</x:v>
      </x:c>
      <x:c r="D27" s="20" t="n">
        <x:v>16285</x:v>
      </x:c>
      <x:c r="E27" s="19" t="str">
        <x:v>LOC014</x:v>
      </x:c>
      <x:c r="F27" s="19" t="str">
        <x:v>Enewetak</x:v>
      </x:c>
      <x:c r="G27" s="21" t="n">
        <x:v>11.35</x:v>
      </x:c>
      <x:c r="H27" s="21" t="n">
        <x:v>162.35</x:v>
      </x:c>
      <x:c r="I27" s="21" t="str">
        <x:v>LOC015</x:v>
      </x:c>
      <x:c r="J27" s="21" t="str">
        <x:v>Saipan</x:v>
      </x:c>
      <x:c r="K27" s="21" t="n">
        <x:v>15.2</x:v>
      </x:c>
      <x:c r="L27" s="21" t="n">
        <x:v>145.75</x:v>
      </x:c>
      <x:c r="M27" s="38" t="n">
        <x:f>D27-C27</x:f>
        <x:v>2</x:v>
      </x:c>
      <x:c r="N27" s="39" t="n">
        <x:f>2*3440.065*ASIN(SQRT(SIN(RADIANS((K27-G27)/2))^2+COS(RADIANS(G27))*COS(RADIANS(K27))*SIN(RADIANS((L27-H27)/2))^2))</x:f>
        <x:v>996.818118803095</x:v>
      </x:c>
      <x:c r="O27" s="39" t="n">
        <x:f>IF(M27&gt;0,N27/(M27*24),"")</x:f>
        <x:v>20.767044141731144</x:v>
      </x:c>
      <x:c r="P27" s="28" t="str">
        <x:v>probable correction</x:v>
      </x:c>
      <x:c r="Q27" s="28" t="str">
        <x:v>low-medium</x:v>
      </x:c>
      <x:c r="R27" s="28" t="str">
        <x:v>medium</x:v>
      </x:c>
      <x:c r="S27" s="30" t="b">
        <x:v>1</x:v>
      </x:c>
      <x:c r="T27" s="28" t="str">
        <x:v>S2</x:v>
      </x:c>
      <x:c r="U27" s="28" t="str">
        <x:v>War Cruise p.7</x:v>
      </x:c>
      <x:c r="V27" s="28" t="str">
        <x:v>https://terror.ringleib.com/wp-content/uploads/2021/03/Ryan-BookUSSTerror-1.pdf</x:v>
      </x:c>
      <x:c r="W27" s="28" t="str">
        <x:v>Chart transcription says Iwo Jima, which is operationally implausible in Aug 1944; Saipan/Marianas is used as the probable destination.</x:v>
      </x:c>
    </x:row>
    <x:row r="28">
      <x:c r="A28" s="19" t="str">
        <x:v>L027</x:v>
      </x:c>
      <x:c r="B28" s="19" t="n">
        <x:v>27</x:v>
      </x:c>
      <x:c r="C28" s="20" t="n">
        <x:v>16288</x:v>
      </x:c>
      <x:c r="D28" s="20" t="n">
        <x:v>16291</x:v>
      </x:c>
      <x:c r="E28" s="19" t="str">
        <x:v>LOC015</x:v>
      </x:c>
      <x:c r="F28" s="19" t="str">
        <x:v>Saipan</x:v>
      </x:c>
      <x:c r="G28" s="21" t="n">
        <x:v>15.2</x:v>
      </x:c>
      <x:c r="H28" s="21" t="n">
        <x:v>145.75</x:v>
      </x:c>
      <x:c r="I28" s="21" t="str">
        <x:v>LOC014</x:v>
      </x:c>
      <x:c r="J28" s="21" t="str">
        <x:v>Enewetak</x:v>
      </x:c>
      <x:c r="K28" s="21" t="n">
        <x:v>11.35</x:v>
      </x:c>
      <x:c r="L28" s="21" t="n">
        <x:v>162.35</x:v>
      </x:c>
      <x:c r="M28" s="38" t="n">
        <x:f>D28-C28</x:f>
        <x:v>3</x:v>
      </x:c>
      <x:c r="N28" s="39" t="n">
        <x:f>2*3440.065*ASIN(SQRT(SIN(RADIANS((K28-G28)/2))^2+COS(RADIANS(G28))*COS(RADIANS(K28))*SIN(RADIANS((L28-H28)/2))^2))</x:f>
        <x:v>996.818118803095</x:v>
      </x:c>
      <x:c r="O28" s="39" t="n">
        <x:f>IF(M28&gt;0,N28/(M28*24),"")</x:f>
        <x:v>13.84469609448743</x:v>
      </x:c>
      <x:c r="P28" s="28" t="str">
        <x:v>probable correction</x:v>
      </x:c>
      <x:c r="Q28" s="28" t="str">
        <x:v>low-medium</x:v>
      </x:c>
      <x:c r="R28" s="28" t="str">
        <x:v>medium</x:v>
      </x:c>
      <x:c r="S28" s="30" t="b">
        <x:v>1</x:v>
      </x:c>
      <x:c r="T28" s="28" t="str">
        <x:v>S2</x:v>
      </x:c>
      <x:c r="U28" s="28" t="str">
        <x:v>War Cruise p.7</x:v>
      </x:c>
      <x:c r="V28" s="28" t="str">
        <x:v>https://terror.ringleib.com/wp-content/uploads/2021/03/Ryan-BookUSSTerror-1.pdf</x:v>
      </x:c>
      <x:c r="W28" s="28" t="str">
        <x:v>Reverse leg inferred from the same likely mis-transcribed chart entry.</x:v>
      </x:c>
    </x:row>
    <x:row r="29">
      <x:c r="A29" s="19" t="str">
        <x:v>L028</x:v>
      </x:c>
      <x:c r="B29" s="19" t="n">
        <x:v>28</x:v>
      </x:c>
      <x:c r="C29" s="20" t="n">
        <x:v>16295</x:v>
      </x:c>
      <x:c r="D29" s="20" t="n">
        <x:v>16301</x:v>
      </x:c>
      <x:c r="E29" s="19" t="str">
        <x:v>LOC014</x:v>
      </x:c>
      <x:c r="F29" s="19" t="str">
        <x:v>Enewetak</x:v>
      </x:c>
      <x:c r="G29" s="21" t="n">
        <x:v>11.35</x:v>
      </x:c>
      <x:c r="H29" s="21" t="n">
        <x:v>162.35</x:v>
      </x:c>
      <x:c r="I29" s="21" t="str">
        <x:v>LOC016</x:v>
      </x:c>
      <x:c r="J29" s="21" t="str">
        <x:v>Guam</x:v>
      </x:c>
      <x:c r="K29" s="21" t="n">
        <x:v>13.45</x:v>
      </x:c>
      <x:c r="L29" s="21" t="n">
        <x:v>144.65</x:v>
      </x:c>
      <x:c r="M29" s="38" t="n">
        <x:f>D29-C29</x:f>
        <x:v>6</x:v>
      </x:c>
      <x:c r="N29" s="39" t="n">
        <x:f>2*3440.065*ASIN(SQRT(SIN(RADIANS((K29-G29)/2))^2+COS(RADIANS(G29))*COS(RADIANS(K29))*SIN(RADIANS((L29-H29)/2))^2))</x:f>
        <x:v>1045.2988024405925</x:v>
      </x:c>
      <x:c r="O29" s="39" t="n">
        <x:f>IF(M29&gt;0,N29/(M29*24),"")</x:f>
        <x:v>7.259019461393003</x:v>
      </x:c>
      <x:c r="P29" s="28" t="str">
        <x:v>chart, conflicted</x:v>
      </x:c>
      <x:c r="Q29" s="28" t="str">
        <x:v>low</x:v>
      </x:c>
      <x:c r="R29" s="28" t="str">
        <x:v>low</x:v>
      </x:c>
      <x:c r="S29" s="30" t="b">
        <x:v>0</x:v>
      </x:c>
      <x:c r="T29" s="28" t="str">
        <x:v>S2</x:v>
      </x:c>
      <x:c r="U29" s="28" t="str">
        <x:v>War Cruise p.7</x:v>
      </x:c>
      <x:c r="V29" s="28" t="str">
        <x:v>https://terror.ringleib.com/wp-content/uploads/2021/03/Ryan-BookUSSTerror-1.pdf</x:v>
      </x:c>
      <x:c r="W29" s="28" t="str">
        <x:v>Conflicts with official narrative that Terror departed Oahu on 17 Aug; retained for research but excluded from default route.</x:v>
      </x:c>
    </x:row>
    <x:row r="30">
      <x:c r="A30" s="19" t="str">
        <x:v>L029</x:v>
      </x:c>
      <x:c r="B30" s="19" t="n">
        <x:v>29</x:v>
      </x:c>
      <x:c r="C30" s="20" t="n">
        <x:v>16301</x:v>
      </x:c>
      <x:c r="D30" s="20" t="n">
        <x:v>16308</x:v>
      </x:c>
      <x:c r="E30" s="19" t="str">
        <x:v>LOC006</x:v>
      </x:c>
      <x:c r="F30" s="19" t="str">
        <x:v>Pearl Harbor</x:v>
      </x:c>
      <x:c r="G30" s="21" t="n">
        <x:v>21.344</x:v>
      </x:c>
      <x:c r="H30" s="21" t="n">
        <x:v>-157.975</x:v>
      </x:c>
      <x:c r="I30" s="21" t="str">
        <x:v>LOC003</x:v>
      </x:c>
      <x:c r="J30" s="21" t="str">
        <x:v>San Francisco Bay</x:v>
      </x:c>
      <x:c r="K30" s="21" t="n">
        <x:v>37.8199</x:v>
      </x:c>
      <x:c r="L30" s="21" t="n">
        <x:v>-122.4783</x:v>
      </x:c>
      <x:c r="M30" s="38" t="n">
        <x:f>D30-C30</x:f>
        <x:v>7</x:v>
      </x:c>
      <x:c r="N30" s="39" t="n">
        <x:f>2*3440.065*ASIN(SQRT(SIN(RADIANS((K30-G30)/2))^2+COS(RADIANS(G30))*COS(RADIANS(K30))*SIN(RADIANS((L30-H30)/2))^2))</x:f>
        <x:v>2083.0835262965743</x:v>
      </x:c>
      <x:c r="O30" s="39" t="n">
        <x:f>IF(M30&gt;0,N30/(M30*24),"")</x:f>
        <x:v>12.399306704146275</x:v>
      </x:c>
      <x:c r="P30" s="28" t="str">
        <x:v>official</x:v>
      </x:c>
      <x:c r="Q30" s="28" t="str">
        <x:v>high</x:v>
      </x:c>
      <x:c r="R30" s="28" t="str">
        <x:v>high</x:v>
      </x:c>
      <x:c r="S30" s="30" t="b">
        <x:v>1</x:v>
      </x:c>
      <x:c r="T30" s="28" t="str">
        <x:v>S1</x:v>
      </x:c>
      <x:c r="U30" s="28" t="str">
        <x:v>DANFS Aug 1944</x:v>
      </x:c>
      <x:c r="V30" s="28" t="str">
        <x:v>https://www.history.navy.mil/research/histories/ship-histories/danfs/t/terror-iii.html</x:v>
      </x:c>
      <x:c r="W30" s="28" t="str"/>
    </x:row>
    <x:row r="31">
      <x:c r="A31" s="19" t="str">
        <x:v>L030</x:v>
      </x:c>
      <x:c r="B31" s="19" t="n">
        <x:v>30</x:v>
      </x:c>
      <x:c r="C31" s="20" t="n">
        <x:v>16324</x:v>
      </x:c>
      <x:c r="D31" s="20" t="n">
        <x:v>16329</x:v>
      </x:c>
      <x:c r="E31" s="19" t="str">
        <x:v>LOC003</x:v>
      </x:c>
      <x:c r="F31" s="19" t="str">
        <x:v>San Francisco Bay</x:v>
      </x:c>
      <x:c r="G31" s="21" t="n">
        <x:v>37.8199</x:v>
      </x:c>
      <x:c r="H31" s="21" t="n">
        <x:v>-122.4783</x:v>
      </x:c>
      <x:c r="I31" s="21" t="str">
        <x:v>LOC006</x:v>
      </x:c>
      <x:c r="J31" s="21" t="str">
        <x:v>Pearl Harbor</x:v>
      </x:c>
      <x:c r="K31" s="21" t="n">
        <x:v>21.344</x:v>
      </x:c>
      <x:c r="L31" s="21" t="n">
        <x:v>-157.975</x:v>
      </x:c>
      <x:c r="M31" s="38" t="n">
        <x:f>D31-C31</x:f>
        <x:v>5</x:v>
      </x:c>
      <x:c r="N31" s="39" t="n">
        <x:f>2*3440.065*ASIN(SQRT(SIN(RADIANS((K31-G31)/2))^2+COS(RADIANS(G31))*COS(RADIANS(K31))*SIN(RADIANS((L31-H31)/2))^2))</x:f>
        <x:v>2083.0835262965743</x:v>
      </x:c>
      <x:c r="O31" s="39" t="n">
        <x:f>IF(M31&gt;0,N31/(M31*24),"")</x:f>
        <x:v>17.359029385804785</x:v>
      </x:c>
      <x:c r="P31" s="28" t="str">
        <x:v>chart + official</x:v>
      </x:c>
      <x:c r="Q31" s="28" t="str">
        <x:v>high</x:v>
      </x:c>
      <x:c r="R31" s="28" t="str">
        <x:v>high</x:v>
      </x:c>
      <x:c r="S31" s="30" t="b">
        <x:v>1</x:v>
      </x:c>
      <x:c r="T31" s="28" t="str">
        <x:v>S2</x:v>
      </x:c>
      <x:c r="U31" s="28" t="str">
        <x:v>War Cruise p.7</x:v>
      </x:c>
      <x:c r="V31" s="28" t="str">
        <x:v>https://terror.ringleib.com/wp-content/uploads/2021/03/Ryan-BookUSSTerror-1.pdf</x:v>
      </x:c>
      <x:c r="W31" s="28" t="str"/>
    </x:row>
    <x:row r="32">
      <x:c r="A32" s="19" t="str">
        <x:v>L031</x:v>
      </x:c>
      <x:c r="B32" s="19" t="n">
        <x:v>31</x:v>
      </x:c>
      <x:c r="C32" s="20" t="n">
        <x:v>16336</x:v>
      </x:c>
      <x:c r="D32" s="20" t="n">
        <x:v>16345</x:v>
      </x:c>
      <x:c r="E32" s="19" t="str">
        <x:v>LOC006</x:v>
      </x:c>
      <x:c r="F32" s="19" t="str">
        <x:v>Pearl Harbor</x:v>
      </x:c>
      <x:c r="G32" s="21" t="n">
        <x:v>21.344</x:v>
      </x:c>
      <x:c r="H32" s="21" t="n">
        <x:v>-157.975</x:v>
      </x:c>
      <x:c r="I32" s="21" t="str">
        <x:v>LOC015</x:v>
      </x:c>
      <x:c r="J32" s="21" t="str">
        <x:v>Saipan</x:v>
      </x:c>
      <x:c r="K32" s="21" t="n">
        <x:v>15.2</x:v>
      </x:c>
      <x:c r="L32" s="21" t="n">
        <x:v>145.75</x:v>
      </x:c>
      <x:c r="M32" s="38" t="n">
        <x:f>D32-C32</x:f>
        <x:v>9</x:v>
      </x:c>
      <x:c r="N32" s="39" t="n">
        <x:f>2*3440.065*ASIN(SQRT(SIN(RADIANS((K32-G32)/2))^2+COS(RADIANS(G32))*COS(RADIANS(K32))*SIN(RADIANS((L32-H32)/2))^2))</x:f>
        <x:v>3213.699742600147</x:v>
      </x:c>
      <x:c r="O32" s="39" t="n">
        <x:f>IF(M32&gt;0,N32/(M32*24),"")</x:f>
        <x:v>14.878239549074756</x:v>
      </x:c>
      <x:c r="P32" s="28" t="str">
        <x:v>chart</x:v>
      </x:c>
      <x:c r="Q32" s="28" t="str">
        <x:v>medium-high</x:v>
      </x:c>
      <x:c r="R32" s="28" t="str">
        <x:v>high</x:v>
      </x:c>
      <x:c r="S32" s="30" t="b">
        <x:v>1</x:v>
      </x:c>
      <x:c r="T32" s="28" t="str">
        <x:v>S2</x:v>
      </x:c>
      <x:c r="U32" s="28" t="str">
        <x:v>War Cruise p.7</x:v>
      </x:c>
      <x:c r="V32" s="28" t="str">
        <x:v>https://terror.ringleib.com/wp-content/uploads/2021/03/Ryan-BookUSSTerror-1.pdf</x:v>
      </x:c>
      <x:c r="W32" s="28" t="str"/>
    </x:row>
    <x:row r="33">
      <x:c r="A33" s="19" t="str">
        <x:v>L032</x:v>
      </x:c>
      <x:c r="B33" s="19" t="n">
        <x:v>32</x:v>
      </x:c>
      <x:c r="C33" s="20" t="n">
        <x:v>16348</x:v>
      </x:c>
      <x:c r="D33" s="20" t="n">
        <x:v>16353</x:v>
      </x:c>
      <x:c r="E33" s="19" t="str">
        <x:v>LOC015</x:v>
      </x:c>
      <x:c r="F33" s="19" t="str">
        <x:v>Saipan</x:v>
      </x:c>
      <x:c r="G33" s="21" t="n">
        <x:v>15.2</x:v>
      </x:c>
      <x:c r="H33" s="21" t="n">
        <x:v>145.75</x:v>
      </x:c>
      <x:c r="I33" s="21" t="str">
        <x:v>LOC017</x:v>
      </x:c>
      <x:c r="J33" s="21" t="str">
        <x:v>Ulithi</x:v>
      </x:c>
      <x:c r="K33" s="21" t="n">
        <x:v>9.55</x:v>
      </x:c>
      <x:c r="L33" s="21" t="n">
        <x:v>138.12</x:v>
      </x:c>
      <x:c r="M33" s="38" t="n">
        <x:f>D33-C33</x:f>
        <x:v>5</x:v>
      </x:c>
      <x:c r="N33" s="39" t="n">
        <x:f>2*3440.065*ASIN(SQRT(SIN(RADIANS((K33-G33)/2))^2+COS(RADIANS(G33))*COS(RADIANS(K33))*SIN(RADIANS((L33-H33)/2))^2))</x:f>
        <x:v>561.3390514639168</x:v>
      </x:c>
      <x:c r="O33" s="39" t="n">
        <x:f>IF(M33&gt;0,N33/(M33*24),"")</x:f>
        <x:v>4.677825428865973</x:v>
      </x:c>
      <x:c r="P33" s="28" t="str">
        <x:v>chart + official</x:v>
      </x:c>
      <x:c r="Q33" s="28" t="str">
        <x:v>medium-high</x:v>
      </x:c>
      <x:c r="R33" s="28" t="str">
        <x:v>high</x:v>
      </x:c>
      <x:c r="S33" s="30" t="b">
        <x:v>1</x:v>
      </x:c>
      <x:c r="T33" s="28" t="str">
        <x:v>S2</x:v>
      </x:c>
      <x:c r="U33" s="28" t="str">
        <x:v>War Cruise p.7</x:v>
      </x:c>
      <x:c r="V33" s="28" t="str">
        <x:v>https://terror.ringleib.com/wp-content/uploads/2021/03/Ryan-BookUSSTerror-1.pdf</x:v>
      </x:c>
      <x:c r="W33" s="28" t="str"/>
    </x:row>
    <x:row r="34">
      <x:c r="A34" s="19" t="str">
        <x:v>L033</x:v>
      </x:c>
      <x:c r="B34" s="19" t="n">
        <x:v>33</x:v>
      </x:c>
      <x:c r="C34" s="20" t="n">
        <x:v>16362</x:v>
      </x:c>
      <x:c r="D34" s="20" t="n">
        <x:v>16364</x:v>
      </x:c>
      <x:c r="E34" s="19" t="str">
        <x:v>LOC017</x:v>
      </x:c>
      <x:c r="F34" s="19" t="str">
        <x:v>Ulithi</x:v>
      </x:c>
      <x:c r="G34" s="21" t="n">
        <x:v>9.55</x:v>
      </x:c>
      <x:c r="H34" s="21" t="n">
        <x:v>138.12</x:v>
      </x:c>
      <x:c r="I34" s="21" t="str">
        <x:v>LOC015</x:v>
      </x:c>
      <x:c r="J34" s="21" t="str">
        <x:v>Saipan</x:v>
      </x:c>
      <x:c r="K34" s="21" t="n">
        <x:v>15.2</x:v>
      </x:c>
      <x:c r="L34" s="21" t="n">
        <x:v>145.75</x:v>
      </x:c>
      <x:c r="M34" s="38" t="n">
        <x:f>D34-C34</x:f>
        <x:v>2</x:v>
      </x:c>
      <x:c r="N34" s="39" t="n">
        <x:f>2*3440.065*ASIN(SQRT(SIN(RADIANS((K34-G34)/2))^2+COS(RADIANS(G34))*COS(RADIANS(K34))*SIN(RADIANS((L34-H34)/2))^2))</x:f>
        <x:v>561.3390514639168</x:v>
      </x:c>
      <x:c r="O34" s="39" t="n">
        <x:f>IF(M34&gt;0,N34/(M34*24),"")</x:f>
        <x:v>11.694563572164933</x:v>
      </x:c>
      <x:c r="P34" s="28" t="str">
        <x:v>chart</x:v>
      </x:c>
      <x:c r="Q34" s="28" t="str">
        <x:v>medium-high</x:v>
      </x:c>
      <x:c r="R34" s="28" t="str">
        <x:v>high</x:v>
      </x:c>
      <x:c r="S34" s="30" t="b">
        <x:v>1</x:v>
      </x:c>
      <x:c r="T34" s="28" t="str">
        <x:v>S2</x:v>
      </x:c>
      <x:c r="U34" s="28" t="str">
        <x:v>War Cruise p.7</x:v>
      </x:c>
      <x:c r="V34" s="28" t="str">
        <x:v>https://terror.ringleib.com/wp-content/uploads/2021/03/Ryan-BookUSSTerror-1.pdf</x:v>
      </x:c>
      <x:c r="W34" s="28" t="str"/>
    </x:row>
    <x:row r="35">
      <x:c r="A35" s="19" t="str">
        <x:v>L034</x:v>
      </x:c>
      <x:c r="B35" s="19" t="n">
        <x:v>34</x:v>
      </x:c>
      <x:c r="C35" s="20" t="n">
        <x:v>16367</x:v>
      </x:c>
      <x:c r="D35" s="20" t="n">
        <x:v>16368</x:v>
      </x:c>
      <x:c r="E35" s="19" t="str">
        <x:v>LOC015</x:v>
      </x:c>
      <x:c r="F35" s="19" t="str">
        <x:v>Saipan</x:v>
      </x:c>
      <x:c r="G35" s="21" t="n">
        <x:v>15.2</x:v>
      </x:c>
      <x:c r="H35" s="21" t="n">
        <x:v>145.75</x:v>
      </x:c>
      <x:c r="I35" s="21" t="str">
        <x:v>LOC017</x:v>
      </x:c>
      <x:c r="J35" s="21" t="str">
        <x:v>Ulithi</x:v>
      </x:c>
      <x:c r="K35" s="21" t="n">
        <x:v>9.55</x:v>
      </x:c>
      <x:c r="L35" s="21" t="n">
        <x:v>138.12</x:v>
      </x:c>
      <x:c r="M35" s="38" t="n">
        <x:f>D35-C35</x:f>
        <x:v>1</x:v>
      </x:c>
      <x:c r="N35" s="39" t="n">
        <x:f>2*3440.065*ASIN(SQRT(SIN(RADIANS((K35-G35)/2))^2+COS(RADIANS(G35))*COS(RADIANS(K35))*SIN(RADIANS((L35-H35)/2))^2))</x:f>
        <x:v>561.3390514639168</x:v>
      </x:c>
      <x:c r="O35" s="39" t="n">
        <x:f>IF(M35&gt;0,N35/(M35*24),"")</x:f>
        <x:v>23.389127144329866</x:v>
      </x:c>
      <x:c r="P35" s="28" t="str">
        <x:v>chart</x:v>
      </x:c>
      <x:c r="Q35" s="28" t="str">
        <x:v>medium-high</x:v>
      </x:c>
      <x:c r="R35" s="28" t="str">
        <x:v>high</x:v>
      </x:c>
      <x:c r="S35" s="30" t="b">
        <x:v>1</x:v>
      </x:c>
      <x:c r="T35" s="28" t="str">
        <x:v>S2</x:v>
      </x:c>
      <x:c r="U35" s="28" t="str">
        <x:v>War Cruise p.7</x:v>
      </x:c>
      <x:c r="V35" s="28" t="str">
        <x:v>https://terror.ringleib.com/wp-content/uploads/2021/03/Ryan-BookUSSTerror-1.pdf</x:v>
      </x:c>
      <x:c r="W35" s="28" t="str"/>
    </x:row>
    <x:row r="36">
      <x:c r="A36" s="19" t="str">
        <x:v>L035</x:v>
      </x:c>
      <x:c r="B36" s="19" t="n">
        <x:v>35</x:v>
      </x:c>
      <x:c r="C36" s="20" t="n">
        <x:v>16377</x:v>
      </x:c>
      <x:c r="D36" s="20" t="n">
        <x:v>16378</x:v>
      </x:c>
      <x:c r="E36" s="19" t="str">
        <x:v>LOC017</x:v>
      </x:c>
      <x:c r="F36" s="19" t="str">
        <x:v>Ulithi</x:v>
      </x:c>
      <x:c r="G36" s="21" t="n">
        <x:v>9.55</x:v>
      </x:c>
      <x:c r="H36" s="21" t="n">
        <x:v>138.12</x:v>
      </x:c>
      <x:c r="I36" s="21" t="str">
        <x:v>LOC015</x:v>
      </x:c>
      <x:c r="J36" s="21" t="str">
        <x:v>Saipan</x:v>
      </x:c>
      <x:c r="K36" s="21" t="n">
        <x:v>15.2</x:v>
      </x:c>
      <x:c r="L36" s="21" t="n">
        <x:v>145.75</x:v>
      </x:c>
      <x:c r="M36" s="38" t="n">
        <x:f>D36-C36</x:f>
        <x:v>1</x:v>
      </x:c>
      <x:c r="N36" s="39" t="n">
        <x:f>2*3440.065*ASIN(SQRT(SIN(RADIANS((K36-G36)/2))^2+COS(RADIANS(G36))*COS(RADIANS(K36))*SIN(RADIANS((L36-H36)/2))^2))</x:f>
        <x:v>561.3390514639168</x:v>
      </x:c>
      <x:c r="O36" s="39" t="n">
        <x:f>IF(M36&gt;0,N36/(M36*24),"")</x:f>
        <x:v>23.389127144329866</x:v>
      </x:c>
      <x:c r="P36" s="28" t="str">
        <x:v>chart</x:v>
      </x:c>
      <x:c r="Q36" s="28" t="str">
        <x:v>medium-high</x:v>
      </x:c>
      <x:c r="R36" s="28" t="str">
        <x:v>high</x:v>
      </x:c>
      <x:c r="S36" s="30" t="b">
        <x:v>1</x:v>
      </x:c>
      <x:c r="T36" s="28" t="str">
        <x:v>S2</x:v>
      </x:c>
      <x:c r="U36" s="28" t="str">
        <x:v>War Cruise p.7</x:v>
      </x:c>
      <x:c r="V36" s="28" t="str">
        <x:v>https://terror.ringleib.com/wp-content/uploads/2021/03/Ryan-BookUSSTerror-1.pdf</x:v>
      </x:c>
      <x:c r="W36" s="28" t="str"/>
    </x:row>
    <x:row r="37">
      <x:c r="A37" s="19" t="str">
        <x:v>L036</x:v>
      </x:c>
      <x:c r="B37" s="19" t="n">
        <x:v>36</x:v>
      </x:c>
      <x:c r="C37" s="20" t="n">
        <x:v>16380</x:v>
      </x:c>
      <x:c r="D37" s="20" t="n">
        <x:v>16387</x:v>
      </x:c>
      <x:c r="E37" s="19" t="str">
        <x:v>LOC015</x:v>
      </x:c>
      <x:c r="F37" s="19" t="str">
        <x:v>Saipan</x:v>
      </x:c>
      <x:c r="G37" s="21" t="n">
        <x:v>15.2</x:v>
      </x:c>
      <x:c r="H37" s="21" t="n">
        <x:v>145.75</x:v>
      </x:c>
      <x:c r="I37" s="21" t="str">
        <x:v>LOC018</x:v>
      </x:c>
      <x:c r="J37" s="21" t="str">
        <x:v>Manus</x:v>
      </x:c>
      <x:c r="K37" s="21" t="n">
        <x:v>-2.05</x:v>
      </x:c>
      <x:c r="L37" s="21" t="n">
        <x:v>147.33</x:v>
      </x:c>
      <x:c r="M37" s="38" t="n">
        <x:f>D37-C37</x:f>
        <x:v>7</x:v>
      </x:c>
      <x:c r="N37" s="39" t="n">
        <x:f>2*3440.065*ASIN(SQRT(SIN(RADIANS((K37-G37)/2))^2+COS(RADIANS(G37))*COS(RADIANS(K37))*SIN(RADIANS((L37-H37)/2))^2))</x:f>
        <x:v>1039.9430398678344</x:v>
      </x:c>
      <x:c r="O37" s="39" t="n">
        <x:f>IF(M37&gt;0,N37/(M37*24),"")</x:f>
        <x:v>6.1901371420704425</x:v>
      </x:c>
      <x:c r="P37" s="28" t="str">
        <x:v>corrected broad route</x:v>
      </x:c>
      <x:c r="Q37" s="28" t="str">
        <x:v>medium</x:v>
      </x:c>
      <x:c r="R37" s="28" t="str">
        <x:v>medium</x:v>
      </x:c>
      <x:c r="S37" s="30" t="b">
        <x:v>1</x:v>
      </x:c>
      <x:c r="T37" s="28" t="str">
        <x:v>S1</x:v>
      </x:c>
      <x:c r="U37" s="28" t="str">
        <x:v>DANFS Oct–Nov 1944</x:v>
      </x:c>
      <x:c r="V37" s="28" t="str">
        <x:v>https://www.history.navy.mil/research/histories/ship-histories/danfs/t/terror-iii.html</x:v>
      </x:c>
      <x:c r="W37" s="28" t="str">
        <x:v>Chart transcription includes an improbable Iwo Jima intermediate; official Marianas–Admiralties sequence is used.</x:v>
      </x:c>
    </x:row>
    <x:row r="38">
      <x:c r="A38" s="19" t="str">
        <x:v>L037</x:v>
      </x:c>
      <x:c r="B38" s="19" t="n">
        <x:v>37</x:v>
      </x:c>
      <x:c r="C38" s="20" t="n">
        <x:v>16392</x:v>
      </x:c>
      <x:c r="D38" s="20" t="n">
        <x:v>16400</x:v>
      </x:c>
      <x:c r="E38" s="19" t="str">
        <x:v>LOC018</x:v>
      </x:c>
      <x:c r="F38" s="19" t="str">
        <x:v>Manus</x:v>
      </x:c>
      <x:c r="G38" s="21" t="n">
        <x:v>-2.05</x:v>
      </x:c>
      <x:c r="H38" s="21" t="n">
        <x:v>147.33</x:v>
      </x:c>
      <x:c r="I38" s="21" t="str">
        <x:v>LOC006</x:v>
      </x:c>
      <x:c r="J38" s="21" t="str">
        <x:v>Pearl Harbor</x:v>
      </x:c>
      <x:c r="K38" s="21" t="n">
        <x:v>21.344</x:v>
      </x:c>
      <x:c r="L38" s="21" t="n">
        <x:v>-157.975</x:v>
      </x:c>
      <x:c r="M38" s="38" t="n">
        <x:f>D38-C38</x:f>
        <x:v>8</x:v>
      </x:c>
      <x:c r="N38" s="39" t="n">
        <x:f>2*3440.065*ASIN(SQRT(SIN(RADIANS((K38-G38)/2))^2+COS(RADIANS(G38))*COS(RADIANS(K38))*SIN(RADIANS((L38-H38)/2))^2))</x:f>
        <x:v>3502.5659624827485</x:v>
      </x:c>
      <x:c r="O38" s="39" t="n">
        <x:f>IF(M38&gt;0,N38/(M38*24),"")</x:f>
        <x:v>18.24253105459765</x:v>
      </x:c>
      <x:c r="P38" s="28" t="str">
        <x:v>chart + official</x:v>
      </x:c>
      <x:c r="Q38" s="28" t="str">
        <x:v>medium-high</x:v>
      </x:c>
      <x:c r="R38" s="28" t="str">
        <x:v>high</x:v>
      </x:c>
      <x:c r="S38" s="30" t="b">
        <x:v>1</x:v>
      </x:c>
      <x:c r="T38" s="28" t="str">
        <x:v>S2</x:v>
      </x:c>
      <x:c r="U38" s="28" t="str">
        <x:v>War Cruise p.7</x:v>
      </x:c>
      <x:c r="V38" s="28" t="str">
        <x:v>https://terror.ringleib.com/wp-content/uploads/2021/03/Ryan-BookUSSTerror-1.pdf</x:v>
      </x:c>
      <x:c r="W38" s="28" t="str"/>
    </x:row>
    <x:row r="39">
      <x:c r="A39" s="19" t="str">
        <x:v>L038</x:v>
      </x:c>
      <x:c r="B39" s="19" t="n">
        <x:v>38</x:v>
      </x:c>
      <x:c r="C39" s="20" t="n">
        <x:v>16459</x:v>
      </x:c>
      <x:c r="D39" s="20" t="n">
        <x:v>16467</x:v>
      </x:c>
      <x:c r="E39" s="19" t="str">
        <x:v>LOC006</x:v>
      </x:c>
      <x:c r="F39" s="19" t="str">
        <x:v>Pearl Harbor</x:v>
      </x:c>
      <x:c r="G39" s="21" t="n">
        <x:v>21.344</x:v>
      </x:c>
      <x:c r="H39" s="21" t="n">
        <x:v>-157.975</x:v>
      </x:c>
      <x:c r="I39" s="21" t="str">
        <x:v>LOC014</x:v>
      </x:c>
      <x:c r="J39" s="21" t="str">
        <x:v>Enewetak</x:v>
      </x:c>
      <x:c r="K39" s="21" t="n">
        <x:v>11.35</x:v>
      </x:c>
      <x:c r="L39" s="21" t="n">
        <x:v>162.35</x:v>
      </x:c>
      <x:c r="M39" s="38" t="n">
        <x:f>D39-C39</x:f>
        <x:v>8</x:v>
      </x:c>
      <x:c r="N39" s="39" t="n">
        <x:f>2*3440.065*ASIN(SQRT(SIN(RADIANS((K39-G39)/2))^2+COS(RADIANS(G39))*COS(RADIANS(K39))*SIN(RADIANS((L39-H39)/2))^2))</x:f>
        <x:v>2356.0215337235295</x:v>
      </x:c>
      <x:c r="O39" s="39" t="n">
        <x:f>IF(M39&gt;0,N39/(M39*24),"")</x:f>
        <x:v>12.270945488143383</x:v>
      </x:c>
      <x:c r="P39" s="28" t="str">
        <x:v>official + deck log</x:v>
      </x:c>
      <x:c r="Q39" s="28" t="str">
        <x:v>high</x:v>
      </x:c>
      <x:c r="R39" s="28" t="str">
        <x:v>high</x:v>
      </x:c>
      <x:c r="S39" s="30" t="b">
        <x:v>1</x:v>
      </x:c>
      <x:c r="T39" s="28" t="str">
        <x:v>S1</x:v>
      </x:c>
      <x:c r="U39" s="28" t="str">
        <x:v>DANFS / War Cruise deck log</x:v>
      </x:c>
      <x:c r="V39" s="28" t="str">
        <x:v>https://www.history.navy.mil/research/histories/ship-histories/danfs/t/terror-iii.html</x:v>
      </x:c>
      <x:c r="W39" s="28" t="str"/>
    </x:row>
    <x:row r="40">
      <x:c r="A40" s="19" t="str">
        <x:v>L039</x:v>
      </x:c>
      <x:c r="B40" s="19" t="n">
        <x:v>39</x:v>
      </x:c>
      <x:c r="C40" s="20" t="n">
        <x:v>16467</x:v>
      </x:c>
      <x:c r="D40" s="20" t="n">
        <x:v>16471</x:v>
      </x:c>
      <x:c r="E40" s="19" t="str">
        <x:v>LOC014</x:v>
      </x:c>
      <x:c r="F40" s="19" t="str">
        <x:v>Enewetak</x:v>
      </x:c>
      <x:c r="G40" s="21" t="n">
        <x:v>11.35</x:v>
      </x:c>
      <x:c r="H40" s="21" t="n">
        <x:v>162.35</x:v>
      </x:c>
      <x:c r="I40" s="21" t="str">
        <x:v>LOC017</x:v>
      </x:c>
      <x:c r="J40" s="21" t="str">
        <x:v>Ulithi</x:v>
      </x:c>
      <x:c r="K40" s="21" t="n">
        <x:v>9.55</x:v>
      </x:c>
      <x:c r="L40" s="21" t="n">
        <x:v>138.12</x:v>
      </x:c>
      <x:c r="M40" s="38" t="n">
        <x:f>D40-C40</x:f>
        <x:v>4</x:v>
      </x:c>
      <x:c r="N40" s="39" t="n">
        <x:f>2*3440.065*ASIN(SQRT(SIN(RADIANS((K40-G40)/2))^2+COS(RADIANS(G40))*COS(RADIANS(K40))*SIN(RADIANS((L40-H40)/2))^2))</x:f>
        <x:v>1434.3061609556712</x:v>
      </x:c>
      <x:c r="O40" s="39" t="n">
        <x:f>IF(M40&gt;0,N40/(M40*24),"")</x:f>
        <x:v>14.940689176621575</x:v>
      </x:c>
      <x:c r="P40" s="28" t="str">
        <x:v>chart corrected to Enewetak</x:v>
      </x:c>
      <x:c r="Q40" s="28" t="str">
        <x:v>high</x:v>
      </x:c>
      <x:c r="R40" s="28" t="str">
        <x:v>high</x:v>
      </x:c>
      <x:c r="S40" s="30" t="b">
        <x:v>1</x:v>
      </x:c>
      <x:c r="T40" s="28" t="str">
        <x:v>S1</x:v>
      </x:c>
      <x:c r="U40" s="28" t="str">
        <x:v>DANFS / War Cruise p.7</x:v>
      </x:c>
      <x:c r="V40" s="28" t="str">
        <x:v>https://www.history.navy.mil/research/histories/ship-histories/danfs/t/terror-iii.html</x:v>
      </x:c>
      <x:c r="W40" s="28" t="str">
        <x:v>Printed reduction appears to read Okinawa; official narrative and deck log establish Enewetak.</x:v>
      </x:c>
    </x:row>
    <x:row r="41">
      <x:c r="A41" s="19" t="str">
        <x:v>L040</x:v>
      </x:c>
      <x:c r="B41" s="19" t="n">
        <x:v>40</x:v>
      </x:c>
      <x:c r="C41" s="20" t="n">
        <x:v>16476</x:v>
      </x:c>
      <x:c r="D41" s="20" t="n">
        <x:v>16478</x:v>
      </x:c>
      <x:c r="E41" s="19" t="str">
        <x:v>LOC017</x:v>
      </x:c>
      <x:c r="F41" s="19" t="str">
        <x:v>Ulithi</x:v>
      </x:c>
      <x:c r="G41" s="21" t="n">
        <x:v>9.55</x:v>
      </x:c>
      <x:c r="H41" s="21" t="n">
        <x:v>138.12</x:v>
      </x:c>
      <x:c r="I41" s="21" t="str">
        <x:v>LOC019</x:v>
      </x:c>
      <x:c r="J41" s="21" t="str">
        <x:v>Tinian</x:v>
      </x:c>
      <x:c r="K41" s="21" t="n">
        <x:v>14.97</x:v>
      </x:c>
      <x:c r="L41" s="21" t="n">
        <x:v>145.62</x:v>
      </x:c>
      <x:c r="M41" s="38" t="n">
        <x:f>D41-C41</x:f>
        <x:v>2</x:v>
      </x:c>
      <x:c r="N41" s="39" t="n">
        <x:f>2*3440.065*ASIN(SQRT(SIN(RADIANS((K41-G41)/2))^2+COS(RADIANS(G41))*COS(RADIANS(K41))*SIN(RADIANS((L41-H41)/2))^2))</x:f>
        <x:v>547.1289521520846</x:v>
      </x:c>
      <x:c r="O41" s="39" t="n">
        <x:f>IF(M41&gt;0,N41/(M41*24),"")</x:f>
        <x:v>11.398519836501762</x:v>
      </x:c>
      <x:c r="P41" s="28" t="str">
        <x:v>chart + official</x:v>
      </x:c>
      <x:c r="Q41" s="28" t="str">
        <x:v>high</x:v>
      </x:c>
      <x:c r="R41" s="28" t="str">
        <x:v>high</x:v>
      </x:c>
      <x:c r="S41" s="30" t="b">
        <x:v>1</x:v>
      </x:c>
      <x:c r="T41" s="28" t="str">
        <x:v>S2</x:v>
      </x:c>
      <x:c r="U41" s="28" t="str">
        <x:v>War Cruise p.7</x:v>
      </x:c>
      <x:c r="V41" s="28" t="str">
        <x:v>https://terror.ringleib.com/wp-content/uploads/2021/03/Ryan-BookUSSTerror-1.pdf</x:v>
      </x:c>
      <x:c r="W41" s="28" t="str"/>
    </x:row>
    <x:row r="42">
      <x:c r="A42" s="19" t="str">
        <x:v>L041</x:v>
      </x:c>
      <x:c r="B42" s="19" t="n">
        <x:v>41</x:v>
      </x:c>
      <x:c r="C42" s="20" t="n">
        <x:v>16481</x:v>
      </x:c>
      <x:c r="D42" s="20" t="n">
        <x:v>16485</x:v>
      </x:c>
      <x:c r="E42" s="19" t="str">
        <x:v>LOC019</x:v>
      </x:c>
      <x:c r="F42" s="19" t="str">
        <x:v>Tinian</x:v>
      </x:c>
      <x:c r="G42" s="21" t="n">
        <x:v>14.97</x:v>
      </x:c>
      <x:c r="H42" s="21" t="n">
        <x:v>145.62</x:v>
      </x:c>
      <x:c r="I42" s="21" t="str">
        <x:v>LOC020</x:v>
      </x:c>
      <x:c r="J42" s="21" t="str">
        <x:v>Iwo Jima</x:v>
      </x:c>
      <x:c r="K42" s="21" t="n">
        <x:v>24.78</x:v>
      </x:c>
      <x:c r="L42" s="21" t="n">
        <x:v>141.34</x:v>
      </x:c>
      <x:c r="M42" s="38" t="n">
        <x:f>D42-C42</x:f>
        <x:v>4</x:v>
      </x:c>
      <x:c r="N42" s="39" t="n">
        <x:f>2*3440.065*ASIN(SQRT(SIN(RADIANS((K42-G42)/2))^2+COS(RADIANS(G42))*COS(RADIANS(K42))*SIN(RADIANS((L42-H42)/2))^2))</x:f>
        <x:v>636.4890511770866</x:v>
      </x:c>
      <x:c r="O42" s="39" t="n">
        <x:f>IF(M42&gt;0,N42/(M42*24),"")</x:f>
        <x:v>6.630094283094652</x:v>
      </x:c>
      <x:c r="P42" s="28" t="str">
        <x:v>official</x:v>
      </x:c>
      <x:c r="Q42" s="28" t="str">
        <x:v>high</x:v>
      </x:c>
      <x:c r="R42" s="28" t="str">
        <x:v>high</x:v>
      </x:c>
      <x:c r="S42" s="30" t="b">
        <x:v>1</x:v>
      </x:c>
      <x:c r="T42" s="28" t="str">
        <x:v>S1</x:v>
      </x:c>
      <x:c r="U42" s="28" t="str">
        <x:v>DANFS 13–17 Feb 1945</x:v>
      </x:c>
      <x:c r="V42" s="28" t="str">
        <x:v>https://www.history.navy.mil/research/histories/ship-histories/danfs/t/terror-iii.html</x:v>
      </x:c>
      <x:c r="W42" s="28" t="str"/>
    </x:row>
    <x:row r="43">
      <x:c r="A43" s="19" t="str">
        <x:v>L042</x:v>
      </x:c>
      <x:c r="B43" s="19" t="n">
        <x:v>42</x:v>
      </x:c>
      <x:c r="C43" s="20" t="n">
        <x:v>16487</x:v>
      </x:c>
      <x:c r="D43" s="20" t="n">
        <x:v>16489</x:v>
      </x:c>
      <x:c r="E43" s="19" t="str">
        <x:v>LOC020</x:v>
      </x:c>
      <x:c r="F43" s="19" t="str">
        <x:v>Iwo Jima</x:v>
      </x:c>
      <x:c r="G43" s="21" t="n">
        <x:v>24.78</x:v>
      </x:c>
      <x:c r="H43" s="21" t="n">
        <x:v>141.34</x:v>
      </x:c>
      <x:c r="I43" s="21" t="str">
        <x:v>LOC015</x:v>
      </x:c>
      <x:c r="J43" s="21" t="str">
        <x:v>Saipan</x:v>
      </x:c>
      <x:c r="K43" s="21" t="n">
        <x:v>15.2</x:v>
      </x:c>
      <x:c r="L43" s="21" t="n">
        <x:v>145.75</x:v>
      </x:c>
      <x:c r="M43" s="38" t="n">
        <x:f>D43-C43</x:f>
        <x:v>2</x:v>
      </x:c>
      <x:c r="N43" s="39" t="n">
        <x:f>2*3440.065*ASIN(SQRT(SIN(RADIANS((K43-G43)/2))^2+COS(RADIANS(G43))*COS(RADIANS(K43))*SIN(RADIANS((L43-H43)/2))^2))</x:f>
        <x:v>626.538052538878</x:v>
      </x:c>
      <x:c r="O43" s="39" t="n">
        <x:f>IF(M43&gt;0,N43/(M43*24),"")</x:f>
        <x:v>13.052876094559958</x:v>
      </x:c>
      <x:c r="P43" s="28" t="str">
        <x:v>official</x:v>
      </x:c>
      <x:c r="Q43" s="28" t="str">
        <x:v>high</x:v>
      </x:c>
      <x:c r="R43" s="28" t="str">
        <x:v>high</x:v>
      </x:c>
      <x:c r="S43" s="30" t="b">
        <x:v>1</x:v>
      </x:c>
      <x:c r="T43" s="28" t="str">
        <x:v>S1</x:v>
      </x:c>
      <x:c r="U43" s="28" t="str">
        <x:v>DANFS 19–21 Feb 1945</x:v>
      </x:c>
      <x:c r="V43" s="28" t="str">
        <x:v>https://www.history.navy.mil/research/histories/ship-histories/danfs/t/terror-iii.html</x:v>
      </x:c>
      <x:c r="W43" s="28" t="str"/>
    </x:row>
    <x:row r="44">
      <x:c r="A44" s="19" t="str">
        <x:v>L043</x:v>
      </x:c>
      <x:c r="B44" s="19" t="n">
        <x:v>43</x:v>
      </x:c>
      <x:c r="C44" s="20" t="n">
        <x:v>16489</x:v>
      </x:c>
      <x:c r="D44" s="20" t="n">
        <x:v>16491</x:v>
      </x:c>
      <x:c r="E44" s="19" t="str">
        <x:v>LOC015</x:v>
      </x:c>
      <x:c r="F44" s="19" t="str">
        <x:v>Saipan</x:v>
      </x:c>
      <x:c r="G44" s="21" t="n">
        <x:v>15.2</x:v>
      </x:c>
      <x:c r="H44" s="21" t="n">
        <x:v>145.75</x:v>
      </x:c>
      <x:c r="I44" s="21" t="str">
        <x:v>LOC017</x:v>
      </x:c>
      <x:c r="J44" s="21" t="str">
        <x:v>Ulithi</x:v>
      </x:c>
      <x:c r="K44" s="21" t="n">
        <x:v>9.55</x:v>
      </x:c>
      <x:c r="L44" s="21" t="n">
        <x:v>138.12</x:v>
      </x:c>
      <x:c r="M44" s="38" t="n">
        <x:f>D44-C44</x:f>
        <x:v>2</x:v>
      </x:c>
      <x:c r="N44" s="39" t="n">
        <x:f>2*3440.065*ASIN(SQRT(SIN(RADIANS((K44-G44)/2))^2+COS(RADIANS(G44))*COS(RADIANS(K44))*SIN(RADIANS((L44-H44)/2))^2))</x:f>
        <x:v>561.3390514639168</x:v>
      </x:c>
      <x:c r="O44" s="39" t="n">
        <x:f>IF(M44&gt;0,N44/(M44*24),"")</x:f>
        <x:v>11.694563572164933</x:v>
      </x:c>
      <x:c r="P44" s="28" t="str">
        <x:v>official</x:v>
      </x:c>
      <x:c r="Q44" s="28" t="str">
        <x:v>high</x:v>
      </x:c>
      <x:c r="R44" s="28" t="str">
        <x:v>high</x:v>
      </x:c>
      <x:c r="S44" s="30" t="b">
        <x:v>1</x:v>
      </x:c>
      <x:c r="T44" s="28" t="str">
        <x:v>S1</x:v>
      </x:c>
      <x:c r="U44" s="28" t="str">
        <x:v>DANFS 21–23 Feb 1945</x:v>
      </x:c>
      <x:c r="V44" s="28" t="str">
        <x:v>https://www.history.navy.mil/research/histories/ship-histories/danfs/t/terror-iii.html</x:v>
      </x:c>
      <x:c r="W44" s="28" t="str"/>
    </x:row>
    <x:row r="45">
      <x:c r="A45" s="19" t="str">
        <x:v>L044</x:v>
      </x:c>
      <x:c r="B45" s="19" t="n">
        <x:v>44</x:v>
      </x:c>
      <x:c r="C45" s="20" t="n">
        <x:v>16515</x:v>
      </x:c>
      <x:c r="D45" s="20" t="n">
        <x:v>16520</x:v>
      </x:c>
      <x:c r="E45" s="19" t="str">
        <x:v>LOC017</x:v>
      </x:c>
      <x:c r="F45" s="19" t="str">
        <x:v>Ulithi</x:v>
      </x:c>
      <x:c r="G45" s="21" t="n">
        <x:v>9.55</x:v>
      </x:c>
      <x:c r="H45" s="21" t="n">
        <x:v>138.12</x:v>
      </x:c>
      <x:c r="I45" s="21" t="str">
        <x:v>LOC021</x:v>
      </x:c>
      <x:c r="J45" s="21" t="str">
        <x:v>Kerama Retto</x:v>
      </x:c>
      <x:c r="K45" s="21" t="n">
        <x:v>26.1667</x:v>
      </x:c>
      <x:c r="L45" s="21" t="n">
        <x:v>127.3</x:v>
      </x:c>
      <x:c r="M45" s="38" t="n">
        <x:f>D45-C45</x:f>
        <x:v>5</x:v>
      </x:c>
      <x:c r="N45" s="39" t="n">
        <x:f>2*3440.065*ASIN(SQRT(SIN(RADIANS((K45-G45)/2))^2+COS(RADIANS(G45))*COS(RADIANS(K45))*SIN(RADIANS((L45-H45)/2))^2))</x:f>
        <x:v>1172.203183673492</x:v>
      </x:c>
      <x:c r="O45" s="39" t="n">
        <x:f>IF(M45&gt;0,N45/(M45*24),"")</x:f>
        <x:v>9.768359863945767</x:v>
      </x:c>
      <x:c r="P45" s="28" t="str">
        <x:v>official</x:v>
      </x:c>
      <x:c r="Q45" s="28" t="str">
        <x:v>high</x:v>
      </x:c>
      <x:c r="R45" s="28" t="str">
        <x:v>high</x:v>
      </x:c>
      <x:c r="S45" s="30" t="b">
        <x:v>1</x:v>
      </x:c>
      <x:c r="T45" s="28" t="str">
        <x:v>S1</x:v>
      </x:c>
      <x:c r="U45" s="28" t="str">
        <x:v>DANFS 19–24 Mar 1945</x:v>
      </x:c>
      <x:c r="V45" s="28" t="str">
        <x:v>https://www.history.navy.mil/research/histories/ship-histories/danfs/t/terror-iii.html</x:v>
      </x:c>
      <x:c r="W45" s="28" t="str"/>
    </x:row>
    <x:row r="46">
      <x:c r="A46" s="19" t="str">
        <x:v>L045</x:v>
      </x:c>
      <x:c r="B46" s="19" t="n">
        <x:v>45</x:v>
      </x:c>
      <x:c r="C46" s="20" t="n">
        <x:v>16565</x:v>
      </x:c>
      <x:c r="D46" s="20" t="n">
        <x:v>16569</x:v>
      </x:c>
      <x:c r="E46" s="19" t="str">
        <x:v>LOC021</x:v>
      </x:c>
      <x:c r="F46" s="19" t="str">
        <x:v>Kerama Retto</x:v>
      </x:c>
      <x:c r="G46" s="21" t="n">
        <x:v>26.1667</x:v>
      </x:c>
      <x:c r="H46" s="21" t="n">
        <x:v>127.3</x:v>
      </x:c>
      <x:c r="I46" s="21" t="str">
        <x:v>LOC015</x:v>
      </x:c>
      <x:c r="J46" s="21" t="str">
        <x:v>Saipan</x:v>
      </x:c>
      <x:c r="K46" s="21" t="n">
        <x:v>15.2</x:v>
      </x:c>
      <x:c r="L46" s="21" t="n">
        <x:v>145.75</x:v>
      </x:c>
      <x:c r="M46" s="38" t="n">
        <x:f>D46-C46</x:f>
        <x:v>4</x:v>
      </x:c>
      <x:c r="N46" s="39" t="n">
        <x:f>2*3440.065*ASIN(SQRT(SIN(RADIANS((K46-G46)/2))^2+COS(RADIANS(G46))*COS(RADIANS(K46))*SIN(RADIANS((L46-H46)/2))^2))</x:f>
        <x:v>1225.4400870633574</x:v>
      </x:c>
      <x:c r="O46" s="39" t="n">
        <x:f>IF(M46&gt;0,N46/(M46*24),"")</x:f>
        <x:v>12.765000906909973</x:v>
      </x:c>
      <x:c r="P46" s="28" t="str">
        <x:v>chart + official</x:v>
      </x:c>
      <x:c r="Q46" s="28" t="str">
        <x:v>high</x:v>
      </x:c>
      <x:c r="R46" s="28" t="str">
        <x:v>high</x:v>
      </x:c>
      <x:c r="S46" s="30" t="b">
        <x:v>1</x:v>
      </x:c>
      <x:c r="T46" s="28" t="str">
        <x:v>S2</x:v>
      </x:c>
      <x:c r="U46" s="28" t="str">
        <x:v>War Cruise p.7</x:v>
      </x:c>
      <x:c r="V46" s="28" t="str">
        <x:v>https://terror.ringleib.com/wp-content/uploads/2021/03/Ryan-BookUSSTerror-1.pdf</x:v>
      </x:c>
      <x:c r="W46" s="28" t="str"/>
    </x:row>
    <x:row r="47">
      <x:c r="A47" s="19" t="str">
        <x:v>L046</x:v>
      </x:c>
      <x:c r="B47" s="19" t="n">
        <x:v>46</x:v>
      </x:c>
      <x:c r="C47" s="20" t="n">
        <x:v>16572</x:v>
      </x:c>
      <x:c r="D47" s="20" t="n">
        <x:v>16575</x:v>
      </x:c>
      <x:c r="E47" s="19" t="str">
        <x:v>LOC015</x:v>
      </x:c>
      <x:c r="F47" s="19" t="str">
        <x:v>Saipan</x:v>
      </x:c>
      <x:c r="G47" s="21" t="n">
        <x:v>15.2</x:v>
      </x:c>
      <x:c r="H47" s="21" t="n">
        <x:v>145.75</x:v>
      </x:c>
      <x:c r="I47" s="21" t="str">
        <x:v>LOC014</x:v>
      </x:c>
      <x:c r="J47" s="21" t="str">
        <x:v>Enewetak</x:v>
      </x:c>
      <x:c r="K47" s="21" t="n">
        <x:v>11.35</x:v>
      </x:c>
      <x:c r="L47" s="21" t="n">
        <x:v>162.35</x:v>
      </x:c>
      <x:c r="M47" s="38" t="n">
        <x:f>D47-C47</x:f>
        <x:v>3</x:v>
      </x:c>
      <x:c r="N47" s="39" t="n">
        <x:f>2*3440.065*ASIN(SQRT(SIN(RADIANS((K47-G47)/2))^2+COS(RADIANS(G47))*COS(RADIANS(K47))*SIN(RADIANS((L47-H47)/2))^2))</x:f>
        <x:v>996.818118803095</x:v>
      </x:c>
      <x:c r="O47" s="39" t="n">
        <x:f>IF(M47&gt;0,N47/(M47*24),"")</x:f>
        <x:v>13.84469609448743</x:v>
      </x:c>
      <x:c r="P47" s="28" t="str">
        <x:v>documented route, estimated dates</x:v>
      </x:c>
      <x:c r="Q47" s="28" t="str">
        <x:v>medium</x:v>
      </x:c>
      <x:c r="R47" s="28" t="str">
        <x:v>medium-high</x:v>
      </x:c>
      <x:c r="S47" s="30" t="b">
        <x:v>1</x:v>
      </x:c>
      <x:c r="T47" s="28" t="str">
        <x:v>S1</x:v>
      </x:c>
      <x:c r="U47" s="28" t="str">
        <x:v>DANFS May 1945</x:v>
      </x:c>
      <x:c r="V47" s="28" t="str">
        <x:v>https://www.history.navy.mil/research/histories/ship-histories/danfs/t/terror-iii.html</x:v>
      </x:c>
      <x:c r="W47" s="28" t="str"/>
    </x:row>
    <x:row r="48">
      <x:c r="A48" s="19" t="str">
        <x:v>L047</x:v>
      </x:c>
      <x:c r="B48" s="19" t="n">
        <x:v>47</x:v>
      </x:c>
      <x:c r="C48" s="20" t="n">
        <x:v>16575</x:v>
      </x:c>
      <x:c r="D48" s="20" t="n">
        <x:v>16580</x:v>
      </x:c>
      <x:c r="E48" s="19" t="str">
        <x:v>LOC014</x:v>
      </x:c>
      <x:c r="F48" s="19" t="str">
        <x:v>Enewetak</x:v>
      </x:c>
      <x:c r="G48" s="21" t="n">
        <x:v>11.35</x:v>
      </x:c>
      <x:c r="H48" s="21" t="n">
        <x:v>162.35</x:v>
      </x:c>
      <x:c r="I48" s="21" t="str">
        <x:v>LOC006</x:v>
      </x:c>
      <x:c r="J48" s="21" t="str">
        <x:v>Pearl Harbor</x:v>
      </x:c>
      <x:c r="K48" s="21" t="n">
        <x:v>21.344</x:v>
      </x:c>
      <x:c r="L48" s="21" t="n">
        <x:v>-157.975</x:v>
      </x:c>
      <x:c r="M48" s="38" t="n">
        <x:f>D48-C48</x:f>
        <x:v>5</x:v>
      </x:c>
      <x:c r="N48" s="39" t="n">
        <x:f>2*3440.065*ASIN(SQRT(SIN(RADIANS((K48-G48)/2))^2+COS(RADIANS(G48))*COS(RADIANS(K48))*SIN(RADIANS((L48-H48)/2))^2))</x:f>
        <x:v>2356.0215337235295</x:v>
      </x:c>
      <x:c r="O48" s="39" t="n">
        <x:f>IF(M48&gt;0,N48/(M48*24),"")</x:f>
        <x:v>19.633512781029413</x:v>
      </x:c>
      <x:c r="P48" s="28" t="str">
        <x:v>documented route, estimated dates</x:v>
      </x:c>
      <x:c r="Q48" s="28" t="str">
        <x:v>medium</x:v>
      </x:c>
      <x:c r="R48" s="28" t="str">
        <x:v>medium-high</x:v>
      </x:c>
      <x:c r="S48" s="30" t="b">
        <x:v>1</x:v>
      </x:c>
      <x:c r="T48" s="28" t="str">
        <x:v>S1</x:v>
      </x:c>
      <x:c r="U48" s="28" t="str">
        <x:v>DANFS / NavSource</x:v>
      </x:c>
      <x:c r="V48" s="28" t="str">
        <x:v>https://www.history.navy.mil/research/histories/ship-histories/danfs/t/terror-iii.html</x:v>
      </x:c>
      <x:c r="W48" s="28" t="str"/>
    </x:row>
    <x:row r="49">
      <x:c r="A49" s="19" t="str">
        <x:v>L048</x:v>
      </x:c>
      <x:c r="B49" s="19" t="n">
        <x:v>48</x:v>
      </x:c>
      <x:c r="C49" s="20" t="n">
        <x:v>16583</x:v>
      </x:c>
      <x:c r="D49" s="20" t="n">
        <x:v>16589</x:v>
      </x:c>
      <x:c r="E49" s="19" t="str">
        <x:v>LOC006</x:v>
      </x:c>
      <x:c r="F49" s="19" t="str">
        <x:v>Pearl Harbor</x:v>
      </x:c>
      <x:c r="G49" s="21" t="n">
        <x:v>21.344</x:v>
      </x:c>
      <x:c r="H49" s="21" t="n">
        <x:v>-157.975</x:v>
      </x:c>
      <x:c r="I49" s="21" t="str">
        <x:v>LOC003</x:v>
      </x:c>
      <x:c r="J49" s="21" t="str">
        <x:v>San Francisco Bay</x:v>
      </x:c>
      <x:c r="K49" s="21" t="n">
        <x:v>37.8199</x:v>
      </x:c>
      <x:c r="L49" s="21" t="n">
        <x:v>-122.4783</x:v>
      </x:c>
      <x:c r="M49" s="38" t="n">
        <x:f>D49-C49</x:f>
        <x:v>6</x:v>
      </x:c>
      <x:c r="N49" s="39" t="n">
        <x:f>2*3440.065*ASIN(SQRT(SIN(RADIANS((K49-G49)/2))^2+COS(RADIANS(G49))*COS(RADIANS(K49))*SIN(RADIANS((L49-H49)/2))^2))</x:f>
        <x:v>2083.0835262965743</x:v>
      </x:c>
      <x:c r="O49" s="39" t="n">
        <x:f>IF(M49&gt;0,N49/(M49*24),"")</x:f>
        <x:v>14.465857821503988</x:v>
      </x:c>
      <x:c r="P49" s="28" t="str">
        <x:v>official + photo dating</x:v>
      </x:c>
      <x:c r="Q49" s="28" t="str">
        <x:v>medium-high</x:v>
      </x:c>
      <x:c r="R49" s="28" t="str">
        <x:v>high</x:v>
      </x:c>
      <x:c r="S49" s="30" t="b">
        <x:v>1</x:v>
      </x:c>
      <x:c r="T49" s="28" t="str">
        <x:v>S4</x:v>
      </x:c>
      <x:c r="U49" s="28" t="str">
        <x:v>NavSource 23/26 May; DANFS 1 Jun</x:v>
      </x:c>
      <x:c r="V49" s="28" t="str">
        <x:v>https://www.navsource.net/archives/11/0605.htm</x:v>
      </x:c>
      <x:c r="W49" s="28" t="str"/>
    </x:row>
    <x:row r="50">
      <x:c r="A50" s="19" t="str">
        <x:v>L049</x:v>
      </x:c>
      <x:c r="B50" s="19" t="n">
        <x:v>49</x:v>
      </x:c>
      <x:c r="C50" s="20" t="n">
        <x:v>16602</x:v>
      </x:c>
      <x:c r="D50" s="20" t="n">
        <x:v>16663</x:v>
      </x:c>
      <x:c r="E50" s="19" t="str">
        <x:v>LOC003</x:v>
      </x:c>
      <x:c r="F50" s="19" t="str">
        <x:v>San Francisco Bay</x:v>
      </x:c>
      <x:c r="G50" s="21" t="n">
        <x:v>37.8199</x:v>
      </x:c>
      <x:c r="H50" s="21" t="n">
        <x:v>-122.4783</x:v>
      </x:c>
      <x:c r="I50" s="21" t="str">
        <x:v>LOC004</x:v>
      </x:c>
      <x:c r="J50" s="21" t="str">
        <x:v>Mare Island Navy Yard</x:v>
      </x:c>
      <x:c r="K50" s="21" t="n">
        <x:v>38.1</x:v>
      </x:c>
      <x:c r="L50" s="21" t="n">
        <x:v>-122.273</x:v>
      </x:c>
      <x:c r="M50" s="38" t="n">
        <x:f>D50-C50</x:f>
        <x:v>61</x:v>
      </x:c>
      <x:c r="N50" s="39" t="n">
        <x:f>2*3440.065*ASIN(SQRT(SIN(RADIANS((K50-G50)/2))^2+COS(RADIANS(G50))*COS(RADIANS(K50))*SIN(RADIANS((L50-H50)/2))^2))</x:f>
        <x:v>19.42350676585331</x:v>
      </x:c>
      <x:c r="O50" s="39" t="n">
        <x:f>IF(M50&gt;0,N50/(M50*24),"")</x:f>
        <x:v>0.013267422654271388</x:v>
      </x:c>
      <x:c r="P50" s="28" t="str">
        <x:v>shipyard movement/period</x:v>
      </x:c>
      <x:c r="Q50" s="28" t="str">
        <x:v>high</x:v>
      </x:c>
      <x:c r="R50" s="28" t="str">
        <x:v>high</x:v>
      </x:c>
      <x:c r="S50" s="30" t="b">
        <x:v>1</x:v>
      </x:c>
      <x:c r="T50" s="28" t="str">
        <x:v>S4</x:v>
      </x:c>
      <x:c r="U50" s="28" t="str">
        <x:v>NavSource refit captions</x:v>
      </x:c>
      <x:c r="V50" s="28" t="str">
        <x:v>https://www.navsource.net/archives/11/0605.htm</x:v>
      </x:c>
      <x:c r="W50" s="28" t="str">
        <x:v>Not a sea transit leg; identifies repair location.</x:v>
      </x:c>
    </x:row>
    <x:row r="51">
      <x:c r="A51" s="19" t="str">
        <x:v>L050</x:v>
      </x:c>
      <x:c r="B51" s="19" t="n">
        <x:v>50</x:v>
      </x:c>
      <x:c r="C51" s="20" t="n">
        <x:v>16664</x:v>
      </x:c>
      <x:c r="D51" s="20" t="n">
        <x:v>16670</x:v>
      </x:c>
      <x:c r="E51" s="19" t="str">
        <x:v>LOC003</x:v>
      </x:c>
      <x:c r="F51" s="19" t="str">
        <x:v>San Francisco Bay</x:v>
      </x:c>
      <x:c r="G51" s="21" t="n">
        <x:v>37.8199</x:v>
      </x:c>
      <x:c r="H51" s="21" t="n">
        <x:v>-122.4783</x:v>
      </x:c>
      <x:c r="I51" s="21" t="str">
        <x:v>LOC006</x:v>
      </x:c>
      <x:c r="J51" s="21" t="str">
        <x:v>Pearl Harbor</x:v>
      </x:c>
      <x:c r="K51" s="21" t="n">
        <x:v>21.344</x:v>
      </x:c>
      <x:c r="L51" s="21" t="n">
        <x:v>-157.975</x:v>
      </x:c>
      <x:c r="M51" s="38" t="n">
        <x:f>D51-C51</x:f>
        <x:v>6</x:v>
      </x:c>
      <x:c r="N51" s="39" t="n">
        <x:f>2*3440.065*ASIN(SQRT(SIN(RADIANS((K51-G51)/2))^2+COS(RADIANS(G51))*COS(RADIANS(K51))*SIN(RADIANS((L51-H51)/2))^2))</x:f>
        <x:v>2083.0835262965743</x:v>
      </x:c>
      <x:c r="O51" s="39" t="n">
        <x:f>IF(M51&gt;0,N51/(M51*24),"")</x:f>
        <x:v>14.465857821503988</x:v>
      </x:c>
      <x:c r="P51" s="28" t="str">
        <x:v>route stated, dates partly estimated</x:v>
      </x:c>
      <x:c r="Q51" s="28" t="str">
        <x:v>medium</x:v>
      </x:c>
      <x:c r="R51" s="28" t="str">
        <x:v>medium-high</x:v>
      </x:c>
      <x:c r="S51" s="30" t="b">
        <x:v>1</x:v>
      </x:c>
      <x:c r="T51" s="28" t="str">
        <x:v>S1</x:v>
      </x:c>
      <x:c r="U51" s="28" t="str">
        <x:v>DANFS Aug–Sep 1945</x:v>
      </x:c>
      <x:c r="V51" s="28" t="str">
        <x:v>https://www.history.navy.mil/research/histories/ship-histories/danfs/t/terror-iii.html</x:v>
      </x:c>
      <x:c r="W51" s="28" t="str"/>
    </x:row>
    <x:row r="52">
      <x:c r="A52" s="19" t="str">
        <x:v>L051</x:v>
      </x:c>
      <x:c r="B52" s="19" t="n">
        <x:v>51</x:v>
      </x:c>
      <x:c r="C52" s="20" t="n">
        <x:v>16671</x:v>
      </x:c>
      <x:c r="D52" s="20" t="n">
        <x:v>16681</x:v>
      </x:c>
      <x:c r="E52" s="19" t="str">
        <x:v>LOC006</x:v>
      </x:c>
      <x:c r="F52" s="19" t="str">
        <x:v>Pearl Harbor</x:v>
      </x:c>
      <x:c r="G52" s="21" t="n">
        <x:v>21.344</x:v>
      </x:c>
      <x:c r="H52" s="21" t="n">
        <x:v>-157.975</x:v>
      </x:c>
      <x:c r="I52" s="21" t="str">
        <x:v>LOC015</x:v>
      </x:c>
      <x:c r="J52" s="21" t="str">
        <x:v>Saipan</x:v>
      </x:c>
      <x:c r="K52" s="21" t="n">
        <x:v>15.2</x:v>
      </x:c>
      <x:c r="L52" s="21" t="n">
        <x:v>145.75</x:v>
      </x:c>
      <x:c r="M52" s="38" t="n">
        <x:f>D52-C52</x:f>
        <x:v>10</x:v>
      </x:c>
      <x:c r="N52" s="39" t="n">
        <x:f>2*3440.065*ASIN(SQRT(SIN(RADIANS((K52-G52)/2))^2+COS(RADIANS(G52))*COS(RADIANS(K52))*SIN(RADIANS((L52-H52)/2))^2))</x:f>
        <x:v>3213.699742600147</x:v>
      </x:c>
      <x:c r="O52" s="39" t="n">
        <x:f>IF(M52&gt;0,N52/(M52*24),"")</x:f>
        <x:v>13.39041559416728</x:v>
      </x:c>
      <x:c r="P52" s="28" t="str">
        <x:v>route stated, dates estimated</x:v>
      </x:c>
      <x:c r="Q52" s="28" t="str">
        <x:v>low-medium</x:v>
      </x:c>
      <x:c r="R52" s="28" t="str">
        <x:v>medium</x:v>
      </x:c>
      <x:c r="S52" s="30" t="b">
        <x:v>1</x:v>
      </x:c>
      <x:c r="T52" s="28" t="str">
        <x:v>S1</x:v>
      </x:c>
      <x:c r="U52" s="28" t="str">
        <x:v>DANFS Aug–Sep 1945</x:v>
      </x:c>
      <x:c r="V52" s="28" t="str">
        <x:v>https://www.history.navy.mil/research/histories/ship-histories/danfs/t/terror-iii.html</x:v>
      </x:c>
      <x:c r="W52" s="28" t="str"/>
    </x:row>
    <x:row r="53">
      <x:c r="A53" s="19" t="str">
        <x:v>L052</x:v>
      </x:c>
      <x:c r="B53" s="19" t="n">
        <x:v>52</x:v>
      </x:c>
      <x:c r="C53" s="20" t="n">
        <x:v>16682</x:v>
      </x:c>
      <x:c r="D53" s="20" t="n">
        <x:v>16688</x:v>
      </x:c>
      <x:c r="E53" s="19" t="str">
        <x:v>LOC015</x:v>
      </x:c>
      <x:c r="F53" s="19" t="str">
        <x:v>Saipan</x:v>
      </x:c>
      <x:c r="G53" s="21" t="n">
        <x:v>15.2</x:v>
      </x:c>
      <x:c r="H53" s="21" t="n">
        <x:v>145.75</x:v>
      </x:c>
      <x:c r="I53" s="21" t="str">
        <x:v>LOC022</x:v>
      </x:c>
      <x:c r="J53" s="21" t="str">
        <x:v>Buckner Bay</x:v>
      </x:c>
      <x:c r="K53" s="21" t="n">
        <x:v>26.22</x:v>
      </x:c>
      <x:c r="L53" s="21" t="n">
        <x:v>127.88</x:v>
      </x:c>
      <x:c r="M53" s="38" t="n">
        <x:f>D53-C53</x:f>
        <x:v>6</x:v>
      </x:c>
      <x:c r="N53" s="39" t="n">
        <x:f>2*3440.065*ASIN(SQRT(SIN(RADIANS((K53-G53)/2))^2+COS(RADIANS(G53))*COS(RADIANS(K53))*SIN(RADIANS((L53-H53)/2))^2))</x:f>
        <x:v>1199.7889391688998</x:v>
      </x:c>
      <x:c r="O53" s="39" t="n">
        <x:f>IF(M53&gt;0,N53/(M53*24),"")</x:f>
        <x:v>8.33186763311736</x:v>
      </x:c>
      <x:c r="P53" s="28" t="str">
        <x:v>route stated, dates estimated</x:v>
      </x:c>
      <x:c r="Q53" s="28" t="str">
        <x:v>low-medium</x:v>
      </x:c>
      <x:c r="R53" s="28" t="str">
        <x:v>medium</x:v>
      </x:c>
      <x:c r="S53" s="30" t="b">
        <x:v>1</x:v>
      </x:c>
      <x:c r="T53" s="28" t="str">
        <x:v>S3</x:v>
      </x:c>
      <x:c r="U53" s="28" t="str">
        <x:v>Album p.6</x:v>
      </x:c>
      <x:c r="V53" s="28" t="str">
        <x:v>https://terror.ringleib.com/wp-content/uploads/2021/03/USSTerror-AnAlbum-Ryan.pdf</x:v>
      </x:c>
      <x:c r="W53" s="28" t="str"/>
    </x:row>
    <x:row r="54">
      <x:c r="A54" s="19" t="str">
        <x:v>L053</x:v>
      </x:c>
      <x:c r="B54" s="19" t="n">
        <x:v>53</x:v>
      </x:c>
      <x:c r="C54" s="20" t="n">
        <x:v>16730</x:v>
      </x:c>
      <x:c r="D54" s="20" t="n">
        <x:v>16732</x:v>
      </x:c>
      <x:c r="E54" s="19" t="str">
        <x:v>LOC022</x:v>
      </x:c>
      <x:c r="F54" s="19" t="str">
        <x:v>Buckner Bay</x:v>
      </x:c>
      <x:c r="G54" s="21" t="n">
        <x:v>26.22</x:v>
      </x:c>
      <x:c r="H54" s="21" t="n">
        <x:v>127.88</x:v>
      </x:c>
      <x:c r="I54" s="21" t="str">
        <x:v>LOC023</x:v>
      </x:c>
      <x:c r="J54" s="21" t="str">
        <x:v>Sasebo</x:v>
      </x:c>
      <x:c r="K54" s="21" t="n">
        <x:v>33.16</x:v>
      </x:c>
      <x:c r="L54" s="21" t="n">
        <x:v>129.72</x:v>
      </x:c>
      <x:c r="M54" s="38" t="n">
        <x:f>D54-C54</x:f>
        <x:v>2</x:v>
      </x:c>
      <x:c r="N54" s="39" t="n">
        <x:f>2*3440.065*ASIN(SQRT(SIN(RADIANS((K54-G54)/2))^2+COS(RADIANS(G54))*COS(RADIANS(K54))*SIN(RADIANS((L54-H54)/2))^2))</x:f>
        <x:v>427.5639046799427</x:v>
      </x:c>
      <x:c r="O54" s="39" t="n">
        <x:f>IF(M54&gt;0,N54/(M54*24),"")</x:f>
        <x:v>8.907581347498807</x:v>
      </x:c>
      <x:c r="P54" s="28" t="str">
        <x:v>detailed chronology</x:v>
      </x:c>
      <x:c r="Q54" s="28" t="str">
        <x:v>high</x:v>
      </x:c>
      <x:c r="R54" s="28" t="str">
        <x:v>high</x:v>
      </x:c>
      <x:c r="S54" s="30" t="b">
        <x:v>1</x:v>
      </x:c>
      <x:c r="T54" s="28" t="str">
        <x:v>S5</x:v>
      </x:c>
      <x:c r="U54" s="28" t="str">
        <x:v>War Cruise late-1945 chronology p.31</x:v>
      </x:c>
      <x:c r="V54" s="28" t="str">
        <x:v>https://terror.ringleib.com/wp-content/uploads/2021/03/Ryan-BookUSSTerror-1.pdf</x:v>
      </x:c>
      <x:c r="W54" s="28" t="str"/>
    </x:row>
    <x:row r="55">
      <x:c r="A55" s="19" t="str">
        <x:v>L054</x:v>
      </x:c>
      <x:c r="B55" s="19" t="n">
        <x:v>54</x:v>
      </x:c>
      <x:c r="C55" s="20" t="n">
        <x:v>16761</x:v>
      </x:c>
      <x:c r="D55" s="20" t="n">
        <x:v>16778</x:v>
      </x:c>
      <x:c r="E55" s="19" t="str">
        <x:v>LOC023</x:v>
      </x:c>
      <x:c r="F55" s="19" t="str">
        <x:v>Sasebo</x:v>
      </x:c>
      <x:c r="G55" s="21" t="n">
        <x:v>33.16</x:v>
      </x:c>
      <x:c r="H55" s="21" t="n">
        <x:v>129.72</x:v>
      </x:c>
      <x:c r="I55" s="21" t="str">
        <x:v>LOC006</x:v>
      </x:c>
      <x:c r="J55" s="21" t="str">
        <x:v>Pearl Harbor</x:v>
      </x:c>
      <x:c r="K55" s="21" t="n">
        <x:v>21.344</x:v>
      </x:c>
      <x:c r="L55" s="21" t="n">
        <x:v>-157.975</x:v>
      </x:c>
      <x:c r="M55" s="38" t="n">
        <x:f>D55-C55</x:f>
        <x:v>17</x:v>
      </x:c>
      <x:c r="N55" s="39" t="n">
        <x:f>2*3440.065*ASIN(SQRT(SIN(RADIANS((K55-G55)/2))^2+COS(RADIANS(G55))*COS(RADIANS(K55))*SIN(RADIANS((L55-H55)/2))^2))</x:f>
        <x:v>3851.351768412267</x:v>
      </x:c>
      <x:c r="O55" s="39" t="n">
        <x:f>IF(M55&gt;0,N55/(M55*24),"")</x:f>
        <x:v>9.439587667677126</x:v>
      </x:c>
      <x:c r="P55" s="28" t="str">
        <x:v>detailed chronology</x:v>
      </x:c>
      <x:c r="Q55" s="28" t="str">
        <x:v>high</x:v>
      </x:c>
      <x:c r="R55" s="28" t="str">
        <x:v>high</x:v>
      </x:c>
      <x:c r="S55" s="30" t="b">
        <x:v>1</x:v>
      </x:c>
      <x:c r="T55" s="28" t="str">
        <x:v>S5</x:v>
      </x:c>
      <x:c r="U55" s="28" t="str">
        <x:v>War Cruise late-1945 chronology p.31</x:v>
      </x:c>
      <x:c r="V55" s="28" t="str">
        <x:v>https://terror.ringleib.com/wp-content/uploads/2021/03/Ryan-BookUSSTerror-1.pdf</x:v>
      </x:c>
      <x:c r="W55" s="28" t="str"/>
    </x:row>
    <x:row r="56">
      <x:c r="A56" s="19" t="str">
        <x:v>L055</x:v>
      </x:c>
      <x:c r="B56" s="19" t="n">
        <x:v>55</x:v>
      </x:c>
      <x:c r="C56" s="20" t="n">
        <x:v>16854</x:v>
      </x:c>
      <x:c r="D56" s="20" t="n">
        <x:v>16860</x:v>
      </x:c>
      <x:c r="E56" s="19" t="str">
        <x:v>LOC006</x:v>
      </x:c>
      <x:c r="F56" s="19" t="str">
        <x:v>Pearl Harbor</x:v>
      </x:c>
      <x:c r="G56" s="21" t="n">
        <x:v>21.344</x:v>
      </x:c>
      <x:c r="H56" s="21" t="n">
        <x:v>-157.975</x:v>
      </x:c>
      <x:c r="I56" s="21" t="str">
        <x:v>LOC005</x:v>
      </x:c>
      <x:c r="J56" s="21" t="str">
        <x:v>Treasure Island</x:v>
      </x:c>
      <x:c r="K56" s="21" t="n">
        <x:v>37.823</x:v>
      </x:c>
      <x:c r="L56" s="21" t="n">
        <x:v>-122.37</x:v>
      </x:c>
      <x:c r="M56" s="38" t="n">
        <x:f>D56-C56</x:f>
        <x:v>6</x:v>
      </x:c>
      <x:c r="N56" s="39" t="n">
        <x:f>2*3440.065*ASIN(SQRT(SIN(RADIANS((K56-G56)/2))^2+COS(RADIANS(G56))*COS(RADIANS(K56))*SIN(RADIANS((L56-H56)/2))^2))</x:f>
        <x:v>2088.0231695501398</x:v>
      </x:c>
      <x:c r="O56" s="39" t="n">
        <x:f>IF(M56&gt;0,N56/(M56*24),"")</x:f>
        <x:v>14.500160899653748</x:v>
      </x:c>
      <x:c r="P56" s="28" t="str">
        <x:v>departure confirmed, arrival estimated</x:v>
      </x:c>
      <x:c r="Q56" s="28" t="str">
        <x:v>medium</x:v>
      </x:c>
      <x:c r="R56" s="28" t="str">
        <x:v>medium-high</x:v>
      </x:c>
      <x:c r="S56" s="30" t="b">
        <x:v>1</x:v>
      </x:c>
      <x:c r="T56" s="28" t="str">
        <x:v>S3</x:v>
      </x:c>
      <x:c r="U56" s="28" t="str">
        <x:v>Album p.6</x:v>
      </x:c>
      <x:c r="V56" s="28" t="str">
        <x:v>https://terror.ringleib.com/wp-content/uploads/2021/03/USSTerror-AnAlbum-Ryan.pdf</x:v>
      </x:c>
      <x:c r="W56" s="28" t="str"/>
    </x:row>
    <x:row r="57">
      <x:c r="A57" s="19" t="str">
        <x:v>L056</x:v>
      </x:c>
      <x:c r="B57" s="19" t="n">
        <x:v>56</x:v>
      </x:c>
      <x:c r="C57" s="20" t="n">
        <x:v>16867</x:v>
      </x:c>
      <x:c r="D57" s="20" t="n">
        <x:v>16873</x:v>
      </x:c>
      <x:c r="E57" s="19" t="str">
        <x:v>LOC005</x:v>
      </x:c>
      <x:c r="F57" s="19" t="str">
        <x:v>Treasure Island</x:v>
      </x:c>
      <x:c r="G57" s="21" t="n">
        <x:v>37.823</x:v>
      </x:c>
      <x:c r="H57" s="21" t="n">
        <x:v>-122.37</x:v>
      </x:c>
      <x:c r="I57" s="21" t="str">
        <x:v>LOC006</x:v>
      </x:c>
      <x:c r="J57" s="21" t="str">
        <x:v>Pearl Harbor</x:v>
      </x:c>
      <x:c r="K57" s="21" t="n">
        <x:v>21.344</x:v>
      </x:c>
      <x:c r="L57" s="21" t="n">
        <x:v>-157.975</x:v>
      </x:c>
      <x:c r="M57" s="38" t="n">
        <x:f>D57-C57</x:f>
        <x:v>6</x:v>
      </x:c>
      <x:c r="N57" s="39" t="n">
        <x:f>2*3440.065*ASIN(SQRT(SIN(RADIANS((K57-G57)/2))^2+COS(RADIANS(G57))*COS(RADIANS(K57))*SIN(RADIANS((L57-H57)/2))^2))</x:f>
        <x:v>2088.0231695501398</x:v>
      </x:c>
      <x:c r="O57" s="39" t="n">
        <x:f>IF(M57&gt;0,N57/(M57*24),"")</x:f>
        <x:v>14.500160899653748</x:v>
      </x:c>
      <x:c r="P57" s="28" t="str">
        <x:v>detailed chronology</x:v>
      </x:c>
      <x:c r="Q57" s="28" t="str">
        <x:v>medium-high</x:v>
      </x:c>
      <x:c r="R57" s="28" t="str">
        <x:v>high</x:v>
      </x:c>
      <x:c r="S57" s="30" t="b">
        <x:v>1</x:v>
      </x:c>
      <x:c r="T57" s="28" t="str">
        <x:v>S5</x:v>
      </x:c>
      <x:c r="U57" s="28" t="str">
        <x:v>War Cruise chronology p.41</x:v>
      </x:c>
      <x:c r="V57" s="28" t="str">
        <x:v>https://terror.ringleib.com/wp-content/uploads/2021/03/Ryan-BookUSSTerror-1.pdf</x:v>
      </x:c>
      <x:c r="W57" s="28" t="str"/>
    </x:row>
    <x:row r="58">
      <x:c r="A58" s="19" t="str">
        <x:v>L057</x:v>
      </x:c>
      <x:c r="B58" s="19" t="n">
        <x:v>57</x:v>
      </x:c>
      <x:c r="C58" s="20" t="n">
        <x:v>16886</x:v>
      </x:c>
      <x:c r="D58" s="20" t="n">
        <x:v>16893</x:v>
      </x:c>
      <x:c r="E58" s="19" t="str">
        <x:v>LOC006</x:v>
      </x:c>
      <x:c r="F58" s="19" t="str">
        <x:v>Pearl Harbor</x:v>
      </x:c>
      <x:c r="G58" s="21" t="n">
        <x:v>21.344</x:v>
      </x:c>
      <x:c r="H58" s="21" t="n">
        <x:v>-157.975</x:v>
      </x:c>
      <x:c r="I58" s="21" t="str">
        <x:v>LOC005</x:v>
      </x:c>
      <x:c r="J58" s="21" t="str">
        <x:v>Treasure Island</x:v>
      </x:c>
      <x:c r="K58" s="21" t="n">
        <x:v>37.823</x:v>
      </x:c>
      <x:c r="L58" s="21" t="n">
        <x:v>-122.37</x:v>
      </x:c>
      <x:c r="M58" s="38" t="n">
        <x:f>D58-C58</x:f>
        <x:v>7</x:v>
      </x:c>
      <x:c r="N58" s="39" t="n">
        <x:f>2*3440.065*ASIN(SQRT(SIN(RADIANS((K58-G58)/2))^2+COS(RADIANS(G58))*COS(RADIANS(K58))*SIN(RADIANS((L58-H58)/2))^2))</x:f>
        <x:v>2088.0231695501398</x:v>
      </x:c>
      <x:c r="O58" s="39" t="n">
        <x:f>IF(M58&gt;0,N58/(M58*24),"")</x:f>
        <x:v>12.428709342560357</x:v>
      </x:c>
      <x:c r="P58" s="28" t="str">
        <x:v>detailed chronology</x:v>
      </x:c>
      <x:c r="Q58" s="28" t="str">
        <x:v>medium-high</x:v>
      </x:c>
      <x:c r="R58" s="28" t="str">
        <x:v>high</x:v>
      </x:c>
      <x:c r="S58" s="30" t="b">
        <x:v>1</x:v>
      </x:c>
      <x:c r="T58" s="28" t="str">
        <x:v>S5</x:v>
      </x:c>
      <x:c r="U58" s="28" t="str">
        <x:v>War Cruise chronology p.41</x:v>
      </x:c>
      <x:c r="V58" s="28" t="str">
        <x:v>https://terror.ringleib.com/wp-content/uploads/2021/03/Ryan-BookUSSTerror-1.pdf</x:v>
      </x:c>
      <x:c r="W58" s="28" t="str"/>
    </x:row>
  </x:sheetData>
  <x:conditionalFormatting sqref="O2:O58">
    <x:cfRule type="cellIs" dxfId="2" priority="1" operator="greaterThan">
      <x:formula>23</x:formula>
    </x:cfRule>
  </x:conditionalFormatting>
  <x:conditionalFormatting sqref="S2:S58">
    <x:cfRule type="expression" dxfId="3" priority="2">
      <x:formula>S2=FALSE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6bd2d1872242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28" hidden="0" customWidth="1"/>
    <x:col min="4" max="4" width="30" hidden="0" customWidth="1"/>
    <x:col min="5" max="5" width="14" hidden="0" customWidth="1"/>
    <x:col min="6" max="6" width="14" hidden="0" customWidth="1"/>
    <x:col min="7" max="7" width="30" hidden="0" customWidth="1"/>
    <x:col min="8" max="8" width="15" hidden="0" customWidth="1"/>
    <x:col min="9" max="9" width="23" hidden="0" customWidth="1"/>
    <x:col min="10" max="10" width="42" hidden="0" customWidth="1"/>
  </x:cols>
  <x:sheetData>
    <x:row r="1">
      <x:c r="A1" s="12" t="str">
        <x:v>Location ID</x:v>
      </x:c>
      <x:c r="B1" s="12" t="str">
        <x:v>Historical Label</x:v>
      </x:c>
      <x:c r="C1" s="12" t="str">
        <x:v>Modern / Specific Point</x:v>
      </x:c>
      <x:c r="D1" s="12" t="str">
        <x:v>Region</x:v>
      </x:c>
      <x:c r="E1" s="12" t="str">
        <x:v>Latitude (WGS84)</x:v>
      </x:c>
      <x:c r="F1" s="12" t="str">
        <x:v>Longitude (WGS84)</x:v>
      </x:c>
      <x:c r="G1" s="12" t="str">
        <x:v>Coordinate Basis</x:v>
      </x:c>
      <x:c r="H1" s="12" t="str">
        <x:v>Uncertainty (nm)</x:v>
      </x:c>
      <x:c r="I1" s="12" t="str">
        <x:v>MGRS Applicability</x:v>
      </x:c>
      <x:c r="J1" s="12" t="str">
        <x:v>Notes</x:v>
      </x:c>
    </x:row>
    <x:row r="2">
      <x:c r="A2" s="42" t="str">
        <x:v>LOC001</x:v>
      </x:c>
      <x:c r="B2" s="42" t="str">
        <x:v>Norfolk / Hampton Roads</x:v>
      </x:c>
      <x:c r="C2" s="42" t="str">
        <x:v>Norfolk Naval Station area</x:v>
      </x:c>
      <x:c r="D2" s="42" t="str">
        <x:v>Virginia, United States</x:v>
      </x:c>
      <x:c r="E2" s="43" t="n">
        <x:v>36.946</x:v>
      </x:c>
      <x:c r="F2" s="43" t="n">
        <x:v>-76.33</x:v>
      </x:c>
      <x:c r="G2" s="42" t="str">
        <x:v>Harbor-area modeling point</x:v>
      </x:c>
      <x:c r="H2" s="42" t="n">
        <x:v>10</x:v>
      </x:c>
      <x:c r="I2" s="42" t="str">
        <x:v>Not recommended offshore</x:v>
      </x:c>
      <x:c r="J2" s="42" t="str">
        <x:v>Departure point for Pacific transfer.</x:v>
      </x:c>
    </x:row>
    <x:row r="3">
      <x:c r="A3" s="42" t="str">
        <x:v>LOC002</x:v>
      </x:c>
      <x:c r="B3" s="42" t="str">
        <x:v>Panama Canal</x:v>
      </x:c>
      <x:c r="C3" s="42" t="str">
        <x:v>Balboa / Pacific entrance</x:v>
      </x:c>
      <x:c r="D3" s="42" t="str">
        <x:v>Panama</x:v>
      </x:c>
      <x:c r="E3" s="43" t="n">
        <x:v>8.95</x:v>
      </x:c>
      <x:c r="F3" s="43" t="n">
        <x:v>-79.5667</x:v>
      </x:c>
      <x:c r="G3" s="42" t="str">
        <x:v>Canal transit modeling point</x:v>
      </x:c>
      <x:c r="H3" s="42" t="n">
        <x:v>15</x:v>
      </x:c>
      <x:c r="I3" s="42" t="str">
        <x:v>Zone-specific only</x:v>
      </x:c>
      <x:c r="J3" s="42" t="str">
        <x:v>Represents canal passage, not an exact berth.</x:v>
      </x:c>
    </x:row>
    <x:row r="4">
      <x:c r="A4" s="42" t="str">
        <x:v>LOC003</x:v>
      </x:c>
      <x:c r="B4" s="42" t="str">
        <x:v>San Francisco Bay</x:v>
      </x:c>
      <x:c r="C4" s="42" t="str">
        <x:v>Golden Gate / San Francisco Bay</x:v>
      </x:c>
      <x:c r="D4" s="42" t="str">
        <x:v>California, United States</x:v>
      </x:c>
      <x:c r="E4" s="43" t="n">
        <x:v>37.8199</x:v>
      </x:c>
      <x:c r="F4" s="43" t="n">
        <x:v>-122.4783</x:v>
      </x:c>
      <x:c r="G4" s="42" t="str">
        <x:v>Golden Gate transit point</x:v>
      </x:c>
      <x:c r="H4" s="42" t="n">
        <x:v>10</x:v>
      </x:c>
      <x:c r="I4" s="42" t="str">
        <x:v>Zone-specific only</x:v>
      </x:c>
      <x:c r="J4" s="42" t="str">
        <x:v>Used for arrivals/departures through the Golden Gate.</x:v>
      </x:c>
    </x:row>
    <x:row r="5">
      <x:c r="A5" s="42" t="str">
        <x:v>LOC004</x:v>
      </x:c>
      <x:c r="B5" s="42" t="str">
        <x:v>Mare Island Navy Yard</x:v>
      </x:c>
      <x:c r="C5" s="42" t="str">
        <x:v>Mare Island</x:v>
      </x:c>
      <x:c r="D5" s="42" t="str">
        <x:v>California, United States</x:v>
      </x:c>
      <x:c r="E5" s="43" t="n">
        <x:v>38.1</x:v>
      </x:c>
      <x:c r="F5" s="43" t="n">
        <x:v>-122.273</x:v>
      </x:c>
      <x:c r="G5" s="42" t="str">
        <x:v>Shipyard centroid</x:v>
      </x:c>
      <x:c r="H5" s="42" t="n">
        <x:v>3</x:v>
      </x:c>
      <x:c r="I5" s="42" t="str">
        <x:v>Applicable on land/harbor</x:v>
      </x:c>
      <x:c r="J5" s="42" t="str">
        <x:v>Major repair period Jun–Aug 1945.</x:v>
      </x:c>
    </x:row>
    <x:row r="6">
      <x:c r="A6" s="42" t="str">
        <x:v>LOC005</x:v>
      </x:c>
      <x:c r="B6" s="42" t="str">
        <x:v>Treasure Island</x:v>
      </x:c>
      <x:c r="C6" s="42" t="str">
        <x:v>Treasure Island Naval Station</x:v>
      </x:c>
      <x:c r="D6" s="42" t="str">
        <x:v>California, United States</x:v>
      </x:c>
      <x:c r="E6" s="43" t="n">
        <x:v>37.823</x:v>
      </x:c>
      <x:c r="F6" s="43" t="n">
        <x:v>-122.37</x:v>
      </x:c>
      <x:c r="G6" s="42" t="str">
        <x:v>Base centroid</x:v>
      </x:c>
      <x:c r="H6" s="42" t="n">
        <x:v>3</x:v>
      </x:c>
      <x:c r="I6" s="42" t="str">
        <x:v>Applicable on land/harbor</x:v>
      </x:c>
      <x:c r="J6" s="42" t="str">
        <x:v>Postwar Pacific Mine Force base.</x:v>
      </x:c>
    </x:row>
    <x:row r="7">
      <x:c r="A7" s="42" t="str">
        <x:v>LOC006</x:v>
      </x:c>
      <x:c r="B7" s="42" t="str">
        <x:v>Pearl Harbor</x:v>
      </x:c>
      <x:c r="C7" s="42" t="str">
        <x:v>Pearl Harbor Naval Base / West Loch</x:v>
      </x:c>
      <x:c r="D7" s="42" t="str">
        <x:v>Oahu, Hawaii</x:v>
      </x:c>
      <x:c r="E7" s="43" t="n">
        <x:v>21.344</x:v>
      </x:c>
      <x:c r="F7" s="43" t="n">
        <x:v>-157.975</x:v>
      </x:c>
      <x:c r="G7" s="42" t="str">
        <x:v>Harbor centroid</x:v>
      </x:c>
      <x:c r="H7" s="42" t="n">
        <x:v>5</x:v>
      </x:c>
      <x:c r="I7" s="42" t="str">
        <x:v>Applicable on land/harbor</x:v>
      </x:c>
      <x:c r="J7" s="42" t="str">
        <x:v>Multiple visits; exact berth varied.</x:v>
      </x:c>
    </x:row>
    <x:row r="8">
      <x:c r="A8" s="42" t="str">
        <x:v>LOC007</x:v>
      </x:c>
      <x:c r="B8" s="42" t="str">
        <x:v>Funafuti</x:v>
      </x:c>
      <x:c r="C8" s="42" t="str">
        <x:v>Funafuti Atoll anchorage</x:v>
      </x:c>
      <x:c r="D8" s="42" t="str">
        <x:v>Tuvalu (then Ellice Islands)</x:v>
      </x:c>
      <x:c r="E8" s="43" t="n">
        <x:v>-8.5167</x:v>
      </x:c>
      <x:c r="F8" s="43" t="n">
        <x:v>179.2</x:v>
      </x:c>
      <x:c r="G8" s="42" t="str">
        <x:v>Atoll/anchorage centroid</x:v>
      </x:c>
      <x:c r="H8" s="42" t="n">
        <x:v>12</x:v>
      </x:c>
      <x:c r="I8" s="42" t="str">
        <x:v>Zone-specific only</x:v>
      </x:c>
      <x:c r="J8" s="42" t="str">
        <x:v>Surveying, mining support, and first fire against enemy aircraft.</x:v>
      </x:c>
    </x:row>
    <x:row r="9">
      <x:c r="A9" s="42" t="str">
        <x:v>LOC008</x:v>
      </x:c>
      <x:c r="B9" s="42" t="str">
        <x:v>Tarawa</x:v>
      </x:c>
      <x:c r="C9" s="42" t="str">
        <x:v>Tarawa Atoll / Betio area</x:v>
      </x:c>
      <x:c r="D9" s="42" t="str">
        <x:v>Kiribati (then Gilbert Islands)</x:v>
      </x:c>
      <x:c r="E9" s="43" t="n">
        <x:v>1.35</x:v>
      </x:c>
      <x:c r="F9" s="43" t="n">
        <x:v>172.93</x:v>
      </x:c>
      <x:c r="G9" s="42" t="str">
        <x:v>Atoll operational centroid</x:v>
      </x:c>
      <x:c r="H9" s="42" t="n">
        <x:v>15</x:v>
      </x:c>
      <x:c r="I9" s="42" t="str">
        <x:v>Zone-specific only</x:v>
      </x:c>
      <x:c r="J9" s="42" t="str">
        <x:v>Mine equipment and Mine Detail 19.</x:v>
      </x:c>
    </x:row>
    <x:row r="10">
      <x:c r="A10" s="42" t="str">
        <x:v>LOC009</x:v>
      </x:c>
      <x:c r="B10" s="42" t="str">
        <x:v>Espiritu Santo</x:v>
      </x:c>
      <x:c r="C10" s="42" t="str">
        <x:v>Segond Channel / Luganville</x:v>
      </x:c>
      <x:c r="D10" s="42" t="str">
        <x:v>Vanuatu (then New Hebrides)</x:v>
      </x:c>
      <x:c r="E10" s="43" t="n">
        <x:v>-15.5167</x:v>
      </x:c>
      <x:c r="F10" s="43" t="n">
        <x:v>167.1833</x:v>
      </x:c>
      <x:c r="G10" s="42" t="str">
        <x:v>Harbor centroid</x:v>
      </x:c>
      <x:c r="H10" s="42" t="n">
        <x:v>10</x:v>
      </x:c>
      <x:c r="I10" s="42" t="str">
        <x:v>Zone-specific only</x:v>
      </x:c>
      <x:c r="J10" s="42" t="str">
        <x:v>Mine equipment delivery and support.</x:v>
      </x:c>
    </x:row>
    <x:row r="11">
      <x:c r="A11" s="42" t="str">
        <x:v>LOC010</x:v>
      </x:c>
      <x:c r="B11" s="42" t="str">
        <x:v>Guadalcanal</x:v>
      </x:c>
      <x:c r="C11" s="42" t="str">
        <x:v>Lunga Point / Honiara area</x:v>
      </x:c>
      <x:c r="D11" s="42" t="str">
        <x:v>Solomon Islands</x:v>
      </x:c>
      <x:c r="E11" s="43" t="n">
        <x:v>-9.433</x:v>
      </x:c>
      <x:c r="F11" s="43" t="n">
        <x:v>159.95</x:v>
      </x:c>
      <x:c r="G11" s="42" t="str">
        <x:v>Coastal operational centroid</x:v>
      </x:c>
      <x:c r="H11" s="42" t="n">
        <x:v>15</x:v>
      </x:c>
      <x:c r="I11" s="42" t="str">
        <x:v>Zone-specific only</x:v>
      </x:c>
      <x:c r="J11" s="42" t="str">
        <x:v>Advance-base mine equipment delivery.</x:v>
      </x:c>
    </x:row>
    <x:row r="12">
      <x:c r="A12" s="42" t="str">
        <x:v>LOC011</x:v>
      </x:c>
      <x:c r="B12" s="42" t="str">
        <x:v>Makin</x:v>
      </x:c>
      <x:c r="C12" s="42" t="str">
        <x:v>Butaritari / Makin Atoll lagoon</x:v>
      </x:c>
      <x:c r="D12" s="42" t="str">
        <x:v>Kiribati (then Gilbert Islands)</x:v>
      </x:c>
      <x:c r="E12" s="43" t="n">
        <x:v>3.167</x:v>
      </x:c>
      <x:c r="F12" s="43" t="n">
        <x:v>172.833</x:v>
      </x:c>
      <x:c r="G12" s="42" t="str">
        <x:v>Lagoon centroid</x:v>
      </x:c>
      <x:c r="H12" s="42" t="n">
        <x:v>12</x:v>
      </x:c>
      <x:c r="I12" s="42" t="str">
        <x:v>Zone-specific only</x:v>
      </x:c>
      <x:c r="J12" s="42" t="str">
        <x:v>Surveyed reef passes and prepared barge for channel mining.</x:v>
      </x:c>
    </x:row>
    <x:row r="13">
      <x:c r="A13" s="42" t="str">
        <x:v>LOC012</x:v>
      </x:c>
      <x:c r="B13" s="42" t="str">
        <x:v>Majuro</x:v>
      </x:c>
      <x:c r="C13" s="42" t="str">
        <x:v>Majuro Atoll anchorage</x:v>
      </x:c>
      <x:c r="D13" s="42" t="str">
        <x:v>Marshall Islands</x:v>
      </x:c>
      <x:c r="E13" s="43" t="n">
        <x:v>7.1167</x:v>
      </x:c>
      <x:c r="F13" s="43" t="n">
        <x:v>171.3667</x:v>
      </x:c>
      <x:c r="G13" s="42" t="str">
        <x:v>Atoll/anchorage centroid</x:v>
      </x:c>
      <x:c r="H13" s="42" t="n">
        <x:v>12</x:v>
      </x:c>
      <x:c r="I13" s="42" t="str">
        <x:v>Zone-specific only</x:v>
      </x:c>
      <x:c r="J13" s="42" t="str">
        <x:v>Repeated logistics and minelaying operations.</x:v>
      </x:c>
    </x:row>
    <x:row r="14">
      <x:c r="A14" s="42" t="str">
        <x:v>LOC013</x:v>
      </x:c>
      <x:c r="B14" s="42" t="str">
        <x:v>Kwajalein</x:v>
      </x:c>
      <x:c r="C14" s="42" t="str">
        <x:v>Kwajalein Atoll anchorage</x:v>
      </x:c>
      <x:c r="D14" s="42" t="str">
        <x:v>Marshall Islands</x:v>
      </x:c>
      <x:c r="E14" s="43" t="n">
        <x:v>8.7167</x:v>
      </x:c>
      <x:c r="F14" s="43" t="n">
        <x:v>167.7333</x:v>
      </x:c>
      <x:c r="G14" s="42" t="str">
        <x:v>Atoll/anchorage centroid</x:v>
      </x:c>
      <x:c r="H14" s="42" t="n">
        <x:v>15</x:v>
      </x:c>
      <x:c r="I14" s="42" t="str">
        <x:v>Zone-specific only</x:v>
      </x:c>
      <x:c r="J14" s="42" t="str">
        <x:v>Repeated March–April 1944 circuits.</x:v>
      </x:c>
    </x:row>
    <x:row r="15">
      <x:c r="A15" s="42" t="str">
        <x:v>LOC014</x:v>
      </x:c>
      <x:c r="B15" s="42" t="str">
        <x:v>Enewetak</x:v>
      </x:c>
      <x:c r="C15" s="42" t="str">
        <x:v>Enewetak Atoll anchorage</x:v>
      </x:c>
      <x:c r="D15" s="42" t="str">
        <x:v>Marshall Islands</x:v>
      </x:c>
      <x:c r="E15" s="43" t="n">
        <x:v>11.35</x:v>
      </x:c>
      <x:c r="F15" s="43" t="n">
        <x:v>162.35</x:v>
      </x:c>
      <x:c r="G15" s="42" t="str">
        <x:v>Atoll/anchorage centroid</x:v>
      </x:c>
      <x:c r="H15" s="42" t="n">
        <x:v>15</x:v>
      </x:c>
      <x:c r="I15" s="42" t="str">
        <x:v>Zone-specific only</x:v>
      </x:c>
      <x:c r="J15" s="42" t="str">
        <x:v>Spelled Eniwetok/Eniwetock in period sources.</x:v>
      </x:c>
    </x:row>
    <x:row r="16">
      <x:c r="A16" s="42" t="str">
        <x:v>LOC015</x:v>
      </x:c>
      <x:c r="B16" s="42" t="str">
        <x:v>Saipan</x:v>
      </x:c>
      <x:c r="C16" s="42" t="str">
        <x:v>Saipan anchorage</x:v>
      </x:c>
      <x:c r="D16" s="42" t="str">
        <x:v>Northern Mariana Islands</x:v>
      </x:c>
      <x:c r="E16" s="43" t="n">
        <x:v>15.2</x:v>
      </x:c>
      <x:c r="F16" s="43" t="n">
        <x:v>145.75</x:v>
      </x:c>
      <x:c r="G16" s="42" t="str">
        <x:v>Island/anchorage centroid</x:v>
      </x:c>
      <x:c r="H16" s="42" t="n">
        <x:v>12</x:v>
      </x:c>
      <x:c r="I16" s="42" t="str">
        <x:v>Zone-specific only</x:v>
      </x:c>
      <x:c r="J16" s="42" t="str">
        <x:v>Cargo, casualties, and repair-route stop.</x:v>
      </x:c>
    </x:row>
    <x:row r="17">
      <x:c r="A17" s="42" t="str">
        <x:v>LOC016</x:v>
      </x:c>
      <x:c r="B17" s="42" t="str">
        <x:v>Guam</x:v>
      </x:c>
      <x:c r="C17" s="42" t="str">
        <x:v>Apra Harbor</x:v>
      </x:c>
      <x:c r="D17" s="42" t="str">
        <x:v>Guam</x:v>
      </x:c>
      <x:c r="E17" s="43" t="n">
        <x:v>13.45</x:v>
      </x:c>
      <x:c r="F17" s="43" t="n">
        <x:v>144.65</x:v>
      </x:c>
      <x:c r="G17" s="42" t="str">
        <x:v>Harbor centroid</x:v>
      </x:c>
      <x:c r="H17" s="42" t="n">
        <x:v>8</x:v>
      </x:c>
      <x:c r="I17" s="42" t="str">
        <x:v>Applicable on land/harbor</x:v>
      </x:c>
      <x:c r="J17" s="42" t="str">
        <x:v>Marianas logistics.</x:v>
      </x:c>
    </x:row>
    <x:row r="18">
      <x:c r="A18" s="42" t="str">
        <x:v>LOC017</x:v>
      </x:c>
      <x:c r="B18" s="42" t="str">
        <x:v>Ulithi</x:v>
      </x:c>
      <x:c r="C18" s="42" t="str">
        <x:v>Ulithi Atoll anchorage</x:v>
      </x:c>
      <x:c r="D18" s="42" t="str">
        <x:v>Federated States of Micronesia (then Caroline Islands)</x:v>
      </x:c>
      <x:c r="E18" s="43" t="n">
        <x:v>9.55</x:v>
      </x:c>
      <x:c r="F18" s="43" t="n">
        <x:v>138.12</x:v>
      </x:c>
      <x:c r="G18" s="42" t="str">
        <x:v>Atoll/anchorage centroid</x:v>
      </x:c>
      <x:c r="H18" s="42" t="n">
        <x:v>15</x:v>
      </x:c>
      <x:c r="I18" s="42" t="str">
        <x:v>Zone-specific only</x:v>
      </x:c>
      <x:c r="J18" s="42" t="str">
        <x:v>Defensive mining and staging for Iwo Jima/Okinawa.</x:v>
      </x:c>
    </x:row>
    <x:row r="19">
      <x:c r="A19" s="42" t="str">
        <x:v>LOC018</x:v>
      </x:c>
      <x:c r="B19" s="42" t="str">
        <x:v>Manus</x:v>
      </x:c>
      <x:c r="C19" s="42" t="str">
        <x:v>Seeadler Harbor, Manus Island</x:v>
      </x:c>
      <x:c r="D19" s="42" t="str">
        <x:v>Papua New Guinea / Admiralty Islands</x:v>
      </x:c>
      <x:c r="E19" s="43" t="n">
        <x:v>-2.05</x:v>
      </x:c>
      <x:c r="F19" s="43" t="n">
        <x:v>147.33</x:v>
      </x:c>
      <x:c r="G19" s="42" t="str">
        <x:v>Harbor centroid</x:v>
      </x:c>
      <x:c r="H19" s="42" t="n">
        <x:v>10</x:v>
      </x:c>
      <x:c r="I19" s="42" t="str">
        <x:v>Zone-specific only</x:v>
      </x:c>
      <x:c r="J19" s="42" t="str">
        <x:v>Late-1944 cargo operations.</x:v>
      </x:c>
    </x:row>
    <x:row r="20">
      <x:c r="A20" s="42" t="str">
        <x:v>LOC019</x:v>
      </x:c>
      <x:c r="B20" s="42" t="str">
        <x:v>Tinian</x:v>
      </x:c>
      <x:c r="C20" s="42" t="str">
        <x:v>Tinian anchorage</x:v>
      </x:c>
      <x:c r="D20" s="42" t="str">
        <x:v>Northern Mariana Islands</x:v>
      </x:c>
      <x:c r="E20" s="43" t="n">
        <x:v>14.97</x:v>
      </x:c>
      <x:c r="F20" s="43" t="n">
        <x:v>145.62</x:v>
      </x:c>
      <x:c r="G20" s="42" t="str">
        <x:v>Island/anchorage centroid</x:v>
      </x:c>
      <x:c r="H20" s="42" t="n">
        <x:v>10</x:v>
      </x:c>
      <x:c r="I20" s="42" t="str">
        <x:v>Zone-specific only</x:v>
      </x:c>
      <x:c r="J20" s="42" t="str">
        <x:v>Second Iwo Jima staging area.</x:v>
      </x:c>
    </x:row>
    <x:row r="21">
      <x:c r="A21" s="42" t="str">
        <x:v>LOC020</x:v>
      </x:c>
      <x:c r="B21" s="42" t="str">
        <x:v>Iwo Jima</x:v>
      </x:c>
      <x:c r="C21" s="42" t="str">
        <x:v>East coast fire-support area</x:v>
      </x:c>
      <x:c r="D21" s="42" t="str">
        <x:v>Volcano Islands, Japan</x:v>
      </x:c>
      <x:c r="E21" s="43" t="n">
        <x:v>24.78</x:v>
      </x:c>
      <x:c r="F21" s="43" t="n">
        <x:v>141.34</x:v>
      </x:c>
      <x:c r="G21" s="42" t="str">
        <x:v>Estimated offshore fire-support point</x:v>
      </x:c>
      <x:c r="H21" s="42" t="n">
        <x:v>8</x:v>
      </x:c>
      <x:c r="I21" s="42" t="str">
        <x:v>Not recommended offshore</x:v>
      </x:c>
      <x:c r="J21" s="42" t="str">
        <x:v>Approximately east of the island; not an exact deck-log fix.</x:v>
      </x:c>
    </x:row>
    <x:row r="22">
      <x:c r="A22" s="42" t="str">
        <x:v>LOC021</x:v>
      </x:c>
      <x:c r="B22" s="42" t="str">
        <x:v>Kerama Retto</x:v>
      </x:c>
      <x:c r="C22" s="42" t="str">
        <x:v>Kerama Retto anchorage</x:v>
      </x:c>
      <x:c r="D22" s="42" t="str">
        <x:v>Okinawa Prefecture, Japan</x:v>
      </x:c>
      <x:c r="E22" s="43" t="n">
        <x:v>26.1667</x:v>
      </x:c>
      <x:c r="F22" s="43" t="n">
        <x:v>127.3</x:v>
      </x:c>
      <x:c r="G22" s="42" t="str">
        <x:v>Anchorage/attack-area modeling point</x:v>
      </x:c>
      <x:c r="H22" s="42" t="n">
        <x:v>5</x:v>
      </x:c>
      <x:c r="I22" s="42" t="str">
        <x:v>Not recommended offshore</x:v>
      </x:c>
      <x:c r="J22" s="42" t="str">
        <x:v>Used for March–May 1945 anchorage and kamikaze strike.</x:v>
      </x:c>
    </x:row>
    <x:row r="23">
      <x:c r="A23" s="42" t="str">
        <x:v>LOC022</x:v>
      </x:c>
      <x:c r="B23" s="42" t="str">
        <x:v>Buckner Bay</x:v>
      </x:c>
      <x:c r="C23" s="42" t="str">
        <x:v>Nakagusuku Bay / Buckner Bay</x:v>
      </x:c>
      <x:c r="D23" s="42" t="str">
        <x:v>Okinawa, Japan</x:v>
      </x:c>
      <x:c r="E23" s="43" t="n">
        <x:v>26.22</x:v>
      </x:c>
      <x:c r="F23" s="43" t="n">
        <x:v>127.88</x:v>
      </x:c>
      <x:c r="G23" s="42" t="str">
        <x:v>Bay centroid</x:v>
      </x:c>
      <x:c r="H23" s="42" t="n">
        <x:v>10</x:v>
      </x:c>
      <x:c r="I23" s="42" t="str">
        <x:v>Zone-specific only</x:v>
      </x:c>
      <x:c r="J23" s="42" t="str">
        <x:v>September–October 1945 typhoon events.</x:v>
      </x:c>
    </x:row>
    <x:row r="24">
      <x:c r="A24" s="42" t="str">
        <x:v>LOC023</x:v>
      </x:c>
      <x:c r="B24" s="42" t="str">
        <x:v>Sasebo</x:v>
      </x:c>
      <x:c r="C24" s="42" t="str">
        <x:v>Sasebo Harbor</x:v>
      </x:c>
      <x:c r="D24" s="42" t="str">
        <x:v>Kyushu, Japan</x:v>
      </x:c>
      <x:c r="E24" s="43" t="n">
        <x:v>33.16</x:v>
      </x:c>
      <x:c r="F24" s="43" t="n">
        <x:v>129.72</x:v>
      </x:c>
      <x:c r="G24" s="42" t="str">
        <x:v>Harbor centroid</x:v>
      </x:c>
      <x:c r="H24" s="42" t="n">
        <x:v>5</x:v>
      </x:c>
      <x:c r="I24" s="42" t="str">
        <x:v>Applicable on land/harbor</x:v>
      </x:c>
      <x:c r="J24" s="42" t="str">
        <x:v>Mine-force flagship/tender service Oct–Nov 1945.</x:v>
      </x:c>
    </x:row>
  </x:sheetData>
  <x:pageMargins left="0.7" right="0.7" top="0.75" bottom="0.75" header="0.3" footer="0.3"/>
  <x:tableParts count="1">
    <x:tablePart xmlns:r="http://schemas.openxmlformats.org/officeDocument/2006/relationships" r:id="Rca0225b9b27d43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4" hidden="0" customWidth="1"/>
    <x:col min="4" max="4" width="10" hidden="0" customWidth="1"/>
    <x:col min="5" max="5" width="42" hidden="0" customWidth="1"/>
    <x:col min="6" max="6" width="10" hidden="0" customWidth="1"/>
    <x:col min="7" max="7" width="42" hidden="0" customWidth="1"/>
    <x:col min="8" max="8" width="42" hidden="0" customWidth="1"/>
    <x:col min="9" max="9" width="18" hidden="0" customWidth="1"/>
    <x:col min="10" max="10" width="35" hidden="0" customWidth="1"/>
  </x:cols>
  <x:sheetData>
    <x:row r="1">
      <x:c r="A1" s="12" t="str">
        <x:v>Conflict ID</x:v>
      </x:c>
      <x:c r="B1" s="12" t="str">
        <x:v>Subject</x:v>
      </x:c>
      <x:c r="C1" s="12" t="str">
        <x:v>Date / Period</x:v>
      </x:c>
      <x:c r="D1" s="12" t="str">
        <x:v>Source A</x:v>
      </x:c>
      <x:c r="E1" s="12" t="str">
        <x:v>Claim A</x:v>
      </x:c>
      <x:c r="F1" s="12" t="str">
        <x:v>Source B</x:v>
      </x:c>
      <x:c r="G1" s="12" t="str">
        <x:v>Claim B</x:v>
      </x:c>
      <x:c r="H1" s="12" t="str">
        <x:v>Modeling Decision</x:v>
      </x:c>
      <x:c r="I1" s="12" t="str">
        <x:v>Decision Confidence</x:v>
      </x:c>
      <x:c r="J1" s="12" t="str">
        <x:v>Recommended Follow-up</x:v>
      </x:c>
    </x:row>
    <x:row r="2">
      <x:c r="A2" s="46" t="str">
        <x:v>C001</x:v>
      </x:c>
      <x:c r="B2" s="46" t="str">
        <x:v>Enewetak–Pearl transit, Apr 1944</x:v>
      </x:c>
      <x:c r="C2" s="46" t="str">
        <x:v>1944-04</x:v>
      </x:c>
      <x:c r="D2" s="46" t="str">
        <x:v>S2</x:v>
      </x:c>
      <x:c r="E2" s="46" t="str">
        <x:v>War Cruise chart gives Enewetak to Pearl Harbor, 17–20 Apr.</x:v>
      </x:c>
      <x:c r="F2" s="46" t="str">
        <x:v>S1</x:v>
      </x:c>
      <x:c r="G2" s="46" t="str">
        <x:v>DANFS says Terror got underway for Hawaii on 22 Apr.</x:v>
      </x:c>
      <x:c r="H2" s="46" t="str">
        <x:v>Use official 22 Apr departure and estimate 29 Apr arrival; retain chart dates in notes.</x:v>
      </x:c>
      <x:c r="I2" s="46" t="str">
        <x:v>Medium</x:v>
      </x:c>
      <x:c r="J2" s="46" t="str">
        <x:v>Check original deck logs/war diary.</x:v>
      </x:c>
    </x:row>
    <x:row r="3">
      <x:c r="A3" s="46" t="str">
        <x:v>C002</x:v>
      </x:c>
      <x:c r="B3" s="46" t="str">
        <x:v>Alleged Iwo Jima visit before invasion</x:v>
      </x:c>
      <x:c r="C3" s="46" t="str">
        <x:v>1944-07/08</x:v>
      </x:c>
      <x:c r="D3" s="46" t="str">
        <x:v>S2</x:v>
      </x:c>
      <x:c r="E3" s="46" t="str">
        <x:v>Reduced chart text reads Enewetak–Iwo Jima–Enewetak.</x:v>
      </x:c>
      <x:c r="F3" s="46" t="str">
        <x:v>S1/S3</x:v>
      </x:c>
      <x:c r="G3" s="46" t="str">
        <x:v>Official and narrative histories describe Marshalls/Marianas support and Saipan casualties, not an Iwo Jima call.</x:v>
      </x:c>
      <x:c r="H3" s="46" t="str">
        <x:v>Model probable Saipan/Marianas movement; exclude 1944 Iwo Jima from default map.</x:v>
      </x:c>
      <x:c r="I3" s="46" t="str">
        <x:v>Medium</x:v>
      </x:c>
      <x:c r="J3" s="46" t="str">
        <x:v>Inspect original Blakeslee graphic or deck logs.</x:v>
      </x:c>
    </x:row>
    <x:row r="4">
      <x:c r="A4" s="46" t="str">
        <x:v>C003</x:v>
      </x:c>
      <x:c r="B4" s="46" t="str">
        <x:v>Guam/San Francisco sequence</x:v>
      </x:c>
      <x:c r="C4" s="46" t="str">
        <x:v>1944-08</x:v>
      </x:c>
      <x:c r="D4" s="46" t="str">
        <x:v>S2</x:v>
      </x:c>
      <x:c r="E4" s="46" t="str">
        <x:v>Reduced chart text gives Enewetak–Guam 11–17 Aug and Guam–San Francisco 19–23 Aug.</x:v>
      </x:c>
      <x:c r="F4" s="46" t="str">
        <x:v>S1</x:v>
      </x:c>
      <x:c r="G4" s="46" t="str">
        <x:v>DANFS states Terror departed Oahu 17 Aug and arrived San Francisco 24 Aug.</x:v>
      </x:c>
      <x:c r="H4" s="46" t="str">
        <x:v>Use Pearl Harbor–San Francisco 17–24 Aug; retain chart leg but exclude it from default route.</x:v>
      </x:c>
      <x:c r="I4" s="46" t="str">
        <x:v>High</x:v>
      </x:c>
      <x:c r="J4" s="46" t="str">
        <x:v>Locate August 1944 deck log.</x:v>
      </x:c>
    </x:row>
    <x:row r="5">
      <x:c r="A5" s="46" t="str">
        <x:v>C004</x:v>
      </x:c>
      <x:c r="B5" s="46" t="str">
        <x:v>Jan 1945 route label</x:v>
      </x:c>
      <x:c r="C5" s="46" t="str">
        <x:v>1945-01</x:v>
      </x:c>
      <x:c r="D5" s="46" t="str">
        <x:v>S2</x:v>
      </x:c>
      <x:c r="E5" s="46" t="str">
        <x:v>Reduced chart appears to read Pearl Harbor–Okinawa and Okinawa–Ulithi.</x:v>
      </x:c>
      <x:c r="F5" s="46" t="str">
        <x:v>S1 + deck-log extract</x:v>
      </x:c>
      <x:c r="G5" s="46" t="str">
        <x:v>Official narrative and positions show Pearl Harbor–Enewetak–Ulithi.</x:v>
      </x:c>
      <x:c r="H5" s="46" t="str">
        <x:v>Correct map route to Enewetak.</x:v>
      </x:c>
      <x:c r="I5" s="46" t="str">
        <x:v>High</x:v>
      </x:c>
      <x:c r="J5" s="46" t="str">
        <x:v>No further action needed unless original graphic is available.</x:v>
      </x:c>
    </x:row>
    <x:row r="6">
      <x:c r="A6" s="46" t="str">
        <x:v>C005</x:v>
      </x:c>
      <x:c r="B6" s="46" t="str">
        <x:v>Pearl Harbor dates after kamikaze damage</x:v>
      </x:c>
      <x:c r="C6" s="46" t="str">
        <x:v>1945-05</x:v>
      </x:c>
      <x:c r="D6" s="46" t="str">
        <x:v>S2</x:v>
      </x:c>
      <x:c r="E6" s="46" t="str">
        <x:v>Chart gives Saipan–Pearl 15–29 May and Pearl–San Francisco 29 May–1 Jun.</x:v>
      </x:c>
      <x:c r="F6" s="46" t="str">
        <x:v>S4</x:v>
      </x:c>
      <x:c r="G6" s="46" t="str">
        <x:v>Dated photo caption says arrival Pearl Harbor 23 May and departure 26 May.</x:v>
      </x:c>
      <x:c r="H6" s="46" t="str">
        <x:v>Use 23–26 May for map; mark Enewetak intermediate dates estimated.</x:v>
      </x:c>
      <x:c r="I6" s="46" t="str">
        <x:v>Medium–High</x:v>
      </x:c>
      <x:c r="J6" s="46" t="str">
        <x:v>Confirm with May 1945 deck log.</x:v>
      </x:c>
    </x:row>
    <x:row r="7">
      <x:c r="A7" s="46" t="str">
        <x:v>C006</x:v>
      </x:c>
      <x:c r="B7" s="46" t="str">
        <x:v>Buckner Bay arrival</x:v>
      </x:c>
      <x:c r="C7" s="46" t="str">
        <x:v>1945-09</x:v>
      </x:c>
      <x:c r="D7" s="46" t="str">
        <x:v>S3</x:v>
      </x:c>
      <x:c r="E7" s="46" t="str">
        <x:v>Album states Buckner Bay reached 8 Sep; flag established 9 Sep.</x:v>
      </x:c>
      <x:c r="F7" s="46" t="str">
        <x:v>S1</x:v>
      </x:c>
      <x:c r="G7" s="46" t="str">
        <x:v>DANFS states Terror was moored in Buckner Bay on 16 Sep.</x:v>
      </x:c>
      <x:c r="H7" s="46" t="str">
        <x:v>Use 8 Sep arrival and 16 Sep as confirmed presence/typhoon date.</x:v>
      </x:c>
      <x:c r="I7" s="46" t="str">
        <x:v>Medium–High</x:v>
      </x:c>
      <x:c r="J7" s="46" t="str">
        <x:v>No inherent contradiction; DANFS may not be stating arrival date.</x:v>
      </x:c>
    </x:row>
    <x:row r="8">
      <x:c r="A8" s="46" t="str">
        <x:v>C007</x:v>
      </x:c>
      <x:c r="B8" s="46" t="str">
        <x:v>March 1946 movements</x:v>
      </x:c>
      <x:c r="C8" s="46" t="str">
        <x:v>1946-03</x:v>
      </x:c>
      <x:c r="D8" s="46" t="str">
        <x:v>S3</x:v>
      </x:c>
      <x:c r="E8" s="46" t="str">
        <x:v>Narrative summary says flag received 21 Mar and departure four days later, arrival 31 Mar.</x:v>
      </x:c>
      <x:c r="F8" s="46" t="str">
        <x:v>S5</x:v>
      </x:c>
      <x:c r="G8" s="46" t="str">
        <x:v>Detailed chronology gives San Francisco departure 6 Mar, Pearl arrival 12 Mar, flag shift 20 Mar, departure 25 Mar, Treasure Island arrival 1 Apr.</x:v>
      </x:c>
      <x:c r="H8" s="46" t="str">
        <x:v>Use detailed chronology dates; note one-day differences.</x:v>
      </x:c>
      <x:c r="I8" s="46" t="str">
        <x:v>Medium</x:v>
      </x:c>
      <x:c r="J8" s="46" t="str">
        <x:v>Confirm with March 1946 deck log.</x:v>
      </x:c>
    </x:row>
  </x:sheetData>
  <x:pageMargins left="0.7" right="0.7" top="0.75" bottom="0.75" header="0.3" footer="0.3"/>
  <x:tableParts count="1">
    <x:tablePart xmlns:r="http://schemas.openxmlformats.org/officeDocument/2006/relationships" r:id="Rfbc2e5cb536b49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5" hidden="0" customWidth="1"/>
    <x:col min="4" max="4" width="30" hidden="0" customWidth="1"/>
    <x:col min="5" max="5" width="55" hidden="0" customWidth="1"/>
    <x:col min="6" max="6" width="48" hidden="0" customWidth="1"/>
    <x:col min="7" max="7" width="14" hidden="0" customWidth="1"/>
    <x:col min="8" max="8" width="48" hidden="0" customWidth="1"/>
  </x:cols>
  <x:sheetData>
    <x:row r="1">
      <x:c r="A1" s="12" t="str">
        <x:v>Source ID</x:v>
      </x:c>
      <x:c r="B1" s="12" t="str">
        <x:v>Title</x:v>
      </x:c>
      <x:c r="C1" s="12" t="str">
        <x:v>Source Type</x:v>
      </x:c>
      <x:c r="D1" s="12" t="str">
        <x:v>Authority</x:v>
      </x:c>
      <x:c r="E1" s="12" t="str">
        <x:v>URL</x:v>
      </x:c>
      <x:c r="F1" s="12" t="str">
        <x:v>Coverage</x:v>
      </x:c>
      <x:c r="G1" s="12" t="str">
        <x:v>Reliability</x:v>
      </x:c>
      <x:c r="H1" s="12" t="str">
        <x:v>Notes</x:v>
      </x:c>
    </x:row>
    <x:row r="2">
      <x:c r="A2" s="42" t="str">
        <x:v>S1</x:v>
      </x:c>
      <x:c r="B2" s="42" t="str">
        <x:v>Terror III (CM-5), Dictionary of American Naval Fighting Ships</x:v>
      </x:c>
      <x:c r="C2" s="42" t="str">
        <x:v>Official ship history</x:v>
      </x:c>
      <x:c r="D2" s="42" t="str">
        <x:v>Naval History and Heritage Command</x:v>
      </x:c>
      <x:c r="E2" s="42" t="str">
        <x:v>https://www.history.navy.mil/research/histories/ship-histories/danfs/t/terror-iii.html</x:v>
      </x:c>
      <x:c r="F2" s="42" t="str">
        <x:v>Official narrative from commissioning through postwar service; detailed Pacific events, dates, and actions.</x:v>
      </x:c>
      <x:c r="G2" s="42" t="str">
        <x:v>High</x:v>
      </x:c>
      <x:c r="H2" s="42" t="str">
        <x:v>Primary backbone for events. Some transit legs are summarized rather than dated at every intermediate stop.</x:v>
      </x:c>
    </x:row>
    <x:row r="3">
      <x:c r="A3" s="42" t="str">
        <x:v>S2</x:v>
      </x:c>
      <x:c r="B3" s="42" t="str">
        <x:v>War Cruise of the USS Terror: Capt. Blakeslee's War Cruise chart reduced to text</x:v>
      </x:c>
      <x:c r="C3" s="42" t="str">
        <x:v>Veteran-produced cruise chronology</x:v>
      </x:c>
      <x:c r="D3" s="42" t="str">
        <x:v>USS Terror historical collection / Allie Ryan</x:v>
      </x:c>
      <x:c r="E3" s="42" t="str">
        <x:v>https://terror.ringleib.com/wp-content/uploads/2021/03/Ryan-BookUSSTerror-1.pdf</x:v>
      </x:c>
      <x:c r="F3" s="42" t="str">
        <x:v>Leg-by-leg voyage dates, mainly 1943–May 1945, based on Capt. Horace Blakeslee's graphic chart.</x:v>
      </x:c>
      <x:c r="G3" s="42" t="str">
        <x:v>Medium–High</x:v>
      </x:c>
      <x:c r="H3" s="42" t="str">
        <x:v>Very useful for route sequencing. Several entries appear inconsistent with distance or the official narrative and are flagged.</x:v>
      </x:c>
    </x:row>
    <x:row r="4">
      <x:c r="A4" s="42" t="str">
        <x:v>S3</x:v>
      </x:c>
      <x:c r="B4" s="42" t="str">
        <x:v>USS Terror CM-5: An Album — History of the USS Terror</x:v>
      </x:c>
      <x:c r="C4" s="42" t="str">
        <x:v>Veteran/association history</x:v>
      </x:c>
      <x:c r="D4" s="42" t="str">
        <x:v>USS Terror historical collection / Allie Ryan</x:v>
      </x:c>
      <x:c r="E4" s="42" t="str">
        <x:v>https://terror.ringleib.com/wp-content/uploads/2021/03/USSTerror-AnAlbum-Ryan.pdf</x:v>
      </x:c>
      <x:c r="F4" s="42" t="str">
        <x:v>Narrative detail for Pacific operations, Okinawa, Sasebo, Pearl Harbor, and 1946 movements.</x:v>
      </x:c>
      <x:c r="G4" s="42" t="str">
        <x:v>Medium–High</x:v>
      </x:c>
      <x:c r="H4" s="42" t="str">
        <x:v>Useful corroboration and postwar detail; casualty figures differ slightly from official DANFS and are not used where conflicting.</x:v>
      </x:c>
    </x:row>
    <x:row r="5">
      <x:c r="A5" s="42" t="str">
        <x:v>S4</x:v>
      </x:c>
      <x:c r="B5" s="42" t="str">
        <x:v>CM-5 Terror photo archive</x:v>
      </x:c>
      <x:c r="C5" s="42" t="str">
        <x:v>Curated naval photo archive</x:v>
      </x:c>
      <x:c r="D5" s="42" t="str">
        <x:v>NavSource Naval History</x:v>
      </x:c>
      <x:c r="E5" s="42" t="str">
        <x:v>https://www.navsource.net/archives/11/0605.htm</x:v>
      </x:c>
      <x:c r="F5" s="42" t="str">
        <x:v>Dated photographs and refit/arrival captions, including Pearl Harbor, Mare Island, and Sasebo.</x:v>
      </x:c>
      <x:c r="G5" s="42" t="str">
        <x:v>Medium–High</x:v>
      </x:c>
      <x:c r="H5" s="42" t="str">
        <x:v>Used to refine selected dates, especially 23/26 May 1945 and 1945 repair photographs.</x:v>
      </x:c>
    </x:row>
    <x:row r="6">
      <x:c r="A6" s="42" t="str">
        <x:v>S5</x:v>
      </x:c>
      <x:c r="B6" s="42" t="str">
        <x:v>USS Terror late-1945 and 1946 chronology within War Cruise volume</x:v>
      </x:c>
      <x:c r="C6" s="42" t="str">
        <x:v>Veteran-produced operational chronology</x:v>
      </x:c>
      <x:c r="D6" s="42" t="str">
        <x:v>USS Terror historical collection / Allie Ryan</x:v>
      </x:c>
      <x:c r="E6" s="42" t="str">
        <x:v>https://terror.ringleib.com/wp-content/uploads/2021/03/Ryan-BookUSSTerror-1.pdf</x:v>
      </x:c>
      <x:c r="F6" s="42" t="str">
        <x:v>Sasebo, Pearl Harbor drydock, and March–April 1946 movements.</x:v>
      </x:c>
      <x:c r="G6" s="42" t="str">
        <x:v>Medium</x:v>
      </x:c>
      <x:c r="H6" s="42" t="str">
        <x:v>Some dates conflict within the compiled volume; conflicts are preserved in the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8aea334414b843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56" t="str">
        <x:v>USS Terror (CM-5) Pacific Timeline Dataset, 1943–1946</x:v>
      </x:c>
      <x:c r="B1" s="42" t="str"/>
    </x:row>
    <x:row r="2">
      <x:c r="A2" s="57" t="str">
        <x:v>Purpose</x:v>
      </x:c>
      <x:c r="B2" s="42" t="str">
        <x:v>Map-ready historical reconstruction for Python, R, Leaflet, Plotly, Shiny, GIS, or further archival research.</x:v>
      </x:c>
    </x:row>
    <x:row r="3">
      <x:c r="A3" s="57" t="str">
        <x:v>Coordinate system</x:v>
      </x:c>
      <x:c r="B3" s="42" t="str">
        <x:v>WGS84 decimal degrees (EPSG:4326). Longitudes west of Greenwich are negative.</x:v>
      </x:c>
    </x:row>
    <x:row r="4">
      <x:c r="A4" s="57" t="str">
        <x:v>Why not MGRS?</x:v>
      </x:c>
      <x:c r="B4" s="42" t="str">
        <x:v>MGRS is tied to UTM/UPS zones and is awkward for long open-ocean routes crossing many zones and the 180th meridian. WGS84 latitude/longitude is the preferred master format.</x:v>
      </x:c>
    </x:row>
    <x:row r="5">
      <x:c r="A5" s="57" t="str">
        <x:v>Coordinate meaning</x:v>
      </x:c>
      <x:c r="B5" s="42" t="str">
        <x:v>Most coordinates are harbor, atoll, island, or operational-area modeling centroids. They are not exact ship positions unless explicitly described otherwise.</x:v>
      </x:c>
    </x:row>
    <x:row r="6">
      <x:c r="A6" s="57" t="str">
        <x:v>Uncertainty</x:v>
      </x:c>
      <x:c r="B6" s="42" t="str">
        <x:v>Position uncertainty is an approximate radius in nautical miles intended for visualization and filtering, not statistical navigation.</x:v>
      </x:c>
    </x:row>
    <x:row r="7">
      <x:c r="A7" s="57" t="str">
        <x:v>Source hierarchy</x:v>
      </x:c>
      <x:c r="B7" s="42" t="str">
        <x:v>Official DANFS narrative is the event backbone. Capt. Blakeslee's reduced War Cruise chronology supplies many leg dates. Veteran histories and NavSource refine details.</x:v>
      </x:c>
    </x:row>
    <x:row r="8">
      <x:c r="A8" s="57" t="str">
        <x:v>Default map filter</x:v>
      </x:c>
      <x:c r="B8" s="42" t="str">
        <x:v>Use Include Default Map = TRUE. Rows/legs marked FALSE are retained as research leads but excluded because of source conflicts.</x:v>
      </x:c>
    </x:row>
    <x:row r="9">
      <x:c r="A9" s="57" t="str">
        <x:v>Date handling</x:v>
      </x:c>
      <x:c r="B9" s="42" t="str">
        <x:v>Exact dates are used when stated. Estimated dates and ranges are labeled. Do not animate estimated points as if they were precise noon fixes.</x:v>
      </x:c>
    </x:row>
    <x:row r="10">
      <x:c r="A10" s="57" t="str">
        <x:v>Route rendering</x:v>
      </x:c>
      <x:c r="B10" s="42" t="str">
        <x:v>For realistic tracks, draw geodesic/great-circle arcs between route-leg endpoints. Split segments at the antimeridian to prevent wraparound artifacts.</x:v>
      </x:c>
    </x:row>
    <x:row r="11">
      <x:c r="A11" s="57" t="str">
        <x:v>Speed QC</x:v>
      </x:c>
      <x:c r="B11" s="42" t="str">
        <x:v>Route Legs calculates great-circle distance and implied average speed. Values above about 23 knots are highlighted for review because Terror's official maximum speed was about 20 knots.</x:v>
      </x:c>
    </x:row>
    <x:row r="12">
      <x:c r="A12" s="57" t="str">
        <x:v>Known limitations</x:v>
      </x:c>
      <x:c r="B12" s="42" t="str">
        <x:v>The sources are not complete deck logs. Several 1944 circuits and the May–September 1945 transits require deck-log or war-diary confirmation.</x:v>
      </x:c>
    </x:row>
    <x:row r="13">
      <x:c r="A13" s="57" t="str">
        <x:v>Recommended next records</x:v>
      </x:c>
      <x:c r="B13" s="42" t="str">
        <x:v>USS Terror deck logs and war diaries for Apr–Aug 1944, May 1945, Aug–Sep 1945, and Mar 1946; original Blakeslee graphic chart if located.</x:v>
      </x:c>
    </x:row>
  </x:sheetData>
  <x:mergeCells>
    <x:mergeCell ref="A1:B1"/>
  </x:mergeCells>
  <x:pageMargins left="0.7" right="0.7" top="0.75" bottom="0.75" header="0.3" footer="0.3"/>
</x:worksheet>
</file>